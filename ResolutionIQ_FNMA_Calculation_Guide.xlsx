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MA Overview" sheetId="1" state="visible" r:id="rId1"/>
    <sheet name="FNMA Criteria Detail" sheetId="2" state="visible" r:id="rId2"/>
    <sheet name="FNMA Calculations" sheetId="3" state="visible" r:id="rId3"/>
    <sheet name="FNMA Waterf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9"/>
    </font>
    <font>
      <name val="Calibri"/>
      <color rgb="00111827"/>
      <sz val="9"/>
    </font>
    <font>
      <name val="Calibri"/>
      <b val="1"/>
      <color rgb="00FFFFFF"/>
      <sz val="10"/>
    </font>
    <font>
      <name val="Calibri"/>
      <b val="1"/>
      <color rgb="00111827"/>
      <sz val="9"/>
    </font>
  </fonts>
  <fills count="13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2D5FA6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EFCE8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36" customWidth="1" min="4" max="4"/>
    <col width="34" customWidth="1" min="5" max="5"/>
    <col width="28" customWidth="1" min="6" max="6"/>
  </cols>
  <sheetData>
    <row r="1" ht="22" customHeight="1">
      <c r="A1" s="1" t="inlineStr">
        <is>
          <t>ResolutionIQ - Fannie Mae (FNMA) Loss Mitigation Programs: Calculation Overview</t>
        </is>
      </c>
    </row>
    <row r="2" ht="20" customHeight="1">
      <c r="A2" s="2" t="inlineStr">
        <is>
          <t>Program</t>
        </is>
      </c>
      <c r="B2" s="2" t="inlineStr">
        <is>
          <t>Category</t>
        </is>
      </c>
      <c r="C2" s="2" t="inlineStr">
        <is>
          <t>Quick Gate</t>
        </is>
      </c>
      <c r="D2" s="2" t="inlineStr">
        <is>
          <t>Key Eligibility Conditions</t>
        </is>
      </c>
      <c r="E2" s="2" t="inlineStr">
        <is>
          <t>Key Disqualifiers</t>
        </is>
      </c>
      <c r="F2" s="2" t="inlineStr">
        <is>
          <t>Regulatory Basis</t>
        </is>
      </c>
    </row>
    <row r="3" ht="52" customHeight="1">
      <c r="A3" s="3" t="inlineStr">
        <is>
          <t>FNMA Reinstatement</t>
        </is>
      </c>
      <c r="B3" s="3" t="inlineStr">
        <is>
          <t>Pre-Default</t>
        </is>
      </c>
      <c r="C3" s="3" t="inlineStr">
        <is>
          <t>DLQ &gt; 0 OR arrears &gt; 0; has liquid assets</t>
        </is>
      </c>
      <c r="D3" s="3" t="inlineStr">
        <is>
          <t>Past-due amounts exist (arrears &gt; 0 OR DLQ &gt; 0); if cash reserves entered, must be &gt; 0 (LM.R1304)</t>
        </is>
      </c>
      <c r="E3" s="3" t="inlineStr">
        <is>
          <t>Current loan; no liquid assets entered and reserves = 0</t>
        </is>
      </c>
      <c r="F3" s="3" t="inlineStr">
        <is>
          <t>LM.R1304</t>
        </is>
      </c>
    </row>
    <row r="4" ht="52" customHeight="1">
      <c r="A4" s="4" t="inlineStr">
        <is>
          <t>FNMA Forbearance Plan</t>
        </is>
      </c>
      <c r="B4" s="4" t="inlineStr">
        <is>
          <t>Forbearance</t>
        </is>
      </c>
      <c r="C4" s="4" t="inlineStr">
        <is>
          <t>Eligible hardship; property OK; principal residence OR disaster</t>
        </is>
      </c>
      <c r="D4" s="4" t="inlineStr">
        <is>
          <t>Any qualifying hardship (not 'None'); property not condemned/abandoned; principal residence OR disaster hardship (2nd home/investment OK for disaster)</t>
        </is>
      </c>
      <c r="E4" s="4" t="inlineStr">
        <is>
          <t>No hardship; condemned/abandoned property</t>
        </is>
      </c>
      <c r="F4" s="4" t="inlineStr">
        <is>
          <t>D2-3.2-01</t>
        </is>
      </c>
    </row>
    <row r="5" ht="52" customHeight="1">
      <c r="A5" s="3" t="inlineStr">
        <is>
          <t>FNMA Repayment Plan</t>
        </is>
      </c>
      <c r="B5" s="3" t="inlineStr">
        <is>
          <t>Home Retention</t>
        </is>
      </c>
      <c r="C5" s="3" t="inlineStr">
        <is>
          <t>Non-disaster; hardship resolved; property OK</t>
        </is>
      </c>
      <c r="D5" s="3" t="inlineStr">
        <is>
          <t>Non-disaster hardship; hardship appears resolved (temporary); property not condemned/abandoned</t>
        </is>
      </c>
      <c r="E5" s="3" t="inlineStr">
        <is>
          <t>Disaster hardship; hardship not resolved; condemned/abandoned property</t>
        </is>
      </c>
      <c r="F5" s="3" t="inlineStr">
        <is>
          <t>D2-3.2-02</t>
        </is>
      </c>
    </row>
    <row r="6" ht="52" customHeight="1">
      <c r="A6" s="4" t="inlineStr">
        <is>
          <t>FNMA Payment Deferral</t>
        </is>
      </c>
      <c r="B6" s="4" t="inlineStr">
        <is>
          <t>Home Retention</t>
        </is>
      </c>
      <c r="C6" s="4" t="inlineStr">
        <is>
          <t>Non-disaster; 1st lien; loan &gt;= 12mo; DLQ 2-6mo; hardship resolved OR imminent default; can resume; cannot reinstate; cum. deferred &lt;= 12mo; prior deferral &gt;= 12mo ago; maturity &gt; 36mo; no failed TPP; QRPC</t>
        </is>
      </c>
      <c r="D6" s="4" t="inlineStr">
        <is>
          <t>Non-disaster; first lien; loan &gt;= 12 months; DLQ 2-6 months; hardship resolved OR imminent default; can resume full payment; cannot reinstate or RPP; prior + current DLQ &lt;= 12mo (lifetime); last deferral &gt;= 12mo ago; maturity &gt; 36 months; no failed TPP within 12mo; QRPC achieved; no common blockers</t>
        </is>
      </c>
      <c r="E6" s="4" t="inlineStr">
        <is>
          <t>Disaster; DLQ &lt; 2 or &gt; 6 months; loan &lt; 12mo; cumulative deferral &gt; 12mo; within 36mo maturity; failed TPP within 12mo; active blockers</t>
        </is>
      </c>
      <c r="F6" s="4" t="inlineStr">
        <is>
          <t>D2-3.2-04</t>
        </is>
      </c>
    </row>
    <row r="7" ht="52" customHeight="1">
      <c r="A7" s="3" t="inlineStr">
        <is>
          <t>FNMA Streamlined Payment Deferral</t>
        </is>
      </c>
      <c r="B7" s="3" t="inlineStr">
        <is>
          <t>Home Retention</t>
        </is>
      </c>
      <c r="C7" s="3" t="inlineStr">
        <is>
          <t>Non-disaster; 1st lien; loan &gt;= 12mo; DLQ 2-6mo; solicitation campaign active; cum. deferred &lt; 12mo; maturity &gt; 36mo; no failed TPP; no blockers</t>
        </is>
      </c>
      <c r="D7" s="3" t="inlineStr">
        <is>
          <t>Non-disaster; first lien; loan &gt;= 12 months; DLQ 2-6 months; solicitation campaign (Campaign MODNRC) active; cumulative deferred &lt; 12mo (strict); last deferral &gt;= 12mo ago; maturity &gt; 36 months; no failed TPP; no common blockers. No BRP or hardship resolution required.</t>
        </is>
      </c>
      <c r="E7" s="3" t="inlineStr">
        <is>
          <t>Disaster; no active solicitation campaign; DLQ out of range; cum. deferred &gt;= 12mo; within 36mo maturity</t>
        </is>
      </c>
      <c r="F7" s="3" t="inlineStr">
        <is>
          <t>D2-3.2-04; LM.R1447; LM.R1452</t>
        </is>
      </c>
    </row>
    <row r="8" ht="52" customHeight="1">
      <c r="A8" s="4" t="inlineStr">
        <is>
          <t>FNMA Disaster Payment Deferral</t>
        </is>
      </c>
      <c r="B8" s="4" t="inlineStr">
        <is>
          <t>Disaster Relief</t>
        </is>
      </c>
      <c r="C8" s="4" t="inlineStr">
        <is>
          <t>Disaster hardship; FEMA/insured loss; 1st lien; DLQ &lt; 2mo at disaster; DLQ 1-12mo now; hardship resolved; can resume; cannot reinstate; no prior deferral for same event; maturity &gt; 36mo</t>
        </is>
      </c>
      <c r="D8" s="4" t="inlineStr">
        <is>
          <t>Disaster hardship; FEMA designation OR insured property loss; first lien; DLQ &lt; 2 months at time of disaster; current DLQ 1-12 months; hardship resolved; can resume full payment; cannot reinstate; no prior deferral for same disaster event; maturity &gt; 36 months; no common blockers</t>
        </is>
      </c>
      <c r="E8" s="4" t="inlineStr">
        <is>
          <t>Non-disaster; no FEMA/insured loss; DLQ &gt;= 2mo at disaster; current DLQ &gt; 12mo; hardship not resolved; prior deferral for same disaster</t>
        </is>
      </c>
      <c r="F8" s="4" t="inlineStr">
        <is>
          <t>D2-3.2-05</t>
        </is>
      </c>
    </row>
    <row r="9" ht="52" customHeight="1">
      <c r="A9" s="3" t="inlineStr">
        <is>
          <t>Fannie Mae Flex Modification (Standard)</t>
        </is>
      </c>
      <c r="B9" s="3" t="inlineStr">
        <is>
          <t>Loan Modification</t>
        </is>
      </c>
      <c r="C9" s="3" t="inlineStr">
        <is>
          <t>Non-disaster; 1st lien; loan &gt;= 12mo; DLQ &gt;= 60d OR imminent default; &lt; 3 prior mods; no failed TPP 12mo; no re-default 12mo; not modified 12mo; QRPC; BRP if &lt; 90d DLQ</t>
        </is>
      </c>
      <c r="D9" s="3" t="inlineStr">
        <is>
          <t>Non-disaster; first lien; loan &gt;= 12 months; DLQ &gt;= 2 months (60d) OR imminent default; &lt; 3 prior mods; no failed TPP within 12mo; no 60d re-default within 12mo of last mod; not modified within 12mo; QRPC achieved; BRP/income docs if DLQ &lt; 90d; MI approval if applicable; no common blockers</t>
        </is>
      </c>
      <c r="E9" s="3" t="inlineStr">
        <is>
          <t>DLQ &lt; 60d and no imminent default; 3+ prior mods; failed TPP within 12mo; re-defaulted within 12mo; modified within 12mo; active common blockers</t>
        </is>
      </c>
      <c r="F9" s="3" t="inlineStr">
        <is>
          <t>D2-3.2-06; LL-2024-02; LM.R1074</t>
        </is>
      </c>
    </row>
    <row r="10" ht="52" customHeight="1">
      <c r="A10" s="4" t="inlineStr">
        <is>
          <t>Fannie Mae Flex Modification (Streamlined)</t>
        </is>
      </c>
      <c r="B10" s="4" t="inlineStr">
        <is>
          <t>Loan Modification</t>
        </is>
      </c>
      <c r="C10" s="4" t="inlineStr">
        <is>
          <t>Non-disaster; 1st lien; loan &gt;= 12mo; DLQ &gt;= 90d; &lt; 3 prior mods; no failed TPP 12mo; no re-default 12mo; maturity &gt; 36mo; no blockers. NO BRP required.</t>
        </is>
      </c>
      <c r="D10" s="4" t="inlineStr">
        <is>
          <t>Non-disaster; first lien; loan &gt;= 12 months; DLQ &gt;= 3 months (90d); maturity &gt; 36 months; &lt; 3 prior mods; no failed TPP within 12mo; no 60d re-default within 12mo; no common blockers. No BRP, hardship docs, or income verification required.</t>
        </is>
      </c>
      <c r="E10" s="4" t="inlineStr">
        <is>
          <t>DLQ &lt; 90d; 3+ prior mods; failed TPP; re-defaulted; within 36mo maturity; active blockers</t>
        </is>
      </c>
      <c r="F10" s="4" t="inlineStr">
        <is>
          <t>D2-3.2-06</t>
        </is>
      </c>
    </row>
    <row r="11" ht="52" customHeight="1">
      <c r="A11" s="3" t="inlineStr">
        <is>
          <t>Fannie Mae Flex Modification (Disaster)</t>
        </is>
      </c>
      <c r="B11" s="3" t="inlineStr">
        <is>
          <t>Disaster Modification</t>
        </is>
      </c>
      <c r="C11" s="3" t="inlineStr">
        <is>
          <t>Disaster hardship; FEMA/insured loss; 1st lien; DLQ &lt; 2mo at disaster; DLQ &gt;= 3mo now; no common blockers</t>
        </is>
      </c>
      <c r="D11" s="3" t="inlineStr">
        <is>
          <t>Disaster hardship; FEMA designation OR insured property loss; first lien; DLQ &lt; 2 months at time of disaster; current DLQ &gt;= 3 months (90d); no common blockers. Reduced eligibility criteria - prior mod count, failed TPP, re-default restrictions may not apply.</t>
        </is>
      </c>
      <c r="E11" s="3" t="inlineStr">
        <is>
          <t>Non-disaster; no FEMA/insured loss; DLQ &gt;= 2mo at disaster; current DLQ &lt; 3mo; active blockers</t>
        </is>
      </c>
      <c r="F11" s="3" t="inlineStr">
        <is>
          <t>D2-3.2-06</t>
        </is>
      </c>
    </row>
    <row r="12" ht="52" customHeight="1">
      <c r="A12" s="4" t="inlineStr">
        <is>
          <t>Fannie Mae Short Sale</t>
        </is>
      </c>
      <c r="B12" s="4" t="inlineStr">
        <is>
          <t>Disposition</t>
        </is>
      </c>
      <c r="C12" s="4" t="inlineStr">
        <is>
          <t>Disposition intent; eligible hardship</t>
        </is>
      </c>
      <c r="D12" s="4" t="inlineStr">
        <is>
          <t>Borrower intent = disposition (NOT retention); any qualifying hardship (not 'None')</t>
        </is>
      </c>
      <c r="E12" s="4" t="inlineStr">
        <is>
          <t>Retention intent; no qualifying hardship</t>
        </is>
      </c>
      <c r="F12" s="4" t="inlineStr">
        <is>
          <t>D2-3.3-01</t>
        </is>
      </c>
    </row>
    <row r="13" ht="52" customHeight="1">
      <c r="A13" s="3" t="inlineStr">
        <is>
          <t>Fannie Mae Mortgage Release (DIL)</t>
        </is>
      </c>
      <c r="B13" s="3" t="inlineStr">
        <is>
          <t>Disposition</t>
        </is>
      </c>
      <c r="C13" s="3" t="inlineStr">
        <is>
          <t>Disposition intent; eligible hardship; meets DIL requirements</t>
        </is>
      </c>
      <c r="D13" s="3" t="inlineStr">
        <is>
          <t>Borrower intent = disposition; any qualifying hardship (not 'None'); meets Mortgage Release requirements (meetsDILRequirements = TRUE)</t>
        </is>
      </c>
      <c r="E13" s="3" t="inlineStr">
        <is>
          <t>Retention intent; DIL requirements not met</t>
        </is>
      </c>
      <c r="F13" s="3" t="inlineStr">
        <is>
          <t>D2-3.3-02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20" customWidth="1" min="4" max="4"/>
    <col width="26" customWidth="1" min="5" max="5"/>
    <col width="30" customWidth="1" min="6" max="6"/>
  </cols>
  <sheetData>
    <row r="1" ht="22" customHeight="1">
      <c r="A1" s="1" t="inlineStr">
        <is>
          <t>Fannie Mae - Detailed Eligibility Criteria Per Program</t>
        </is>
      </c>
    </row>
    <row r="2" ht="20" customHeight="1">
      <c r="A2" s="2" t="inlineStr">
        <is>
          <t>Program</t>
        </is>
      </c>
      <c r="B2" s="2" t="inlineStr">
        <is>
          <t>Criterion</t>
        </is>
      </c>
      <c r="C2" s="2" t="inlineStr">
        <is>
          <t>Field / Input</t>
        </is>
      </c>
      <c r="D2" s="2" t="inlineStr">
        <is>
          <t>Threshold</t>
        </is>
      </c>
      <c r="E2" s="2" t="inlineStr">
        <is>
          <t>Pass Condition</t>
        </is>
      </c>
      <c r="F2" s="2" t="inlineStr">
        <is>
          <t>Fail / Notes</t>
        </is>
      </c>
    </row>
    <row r="3" ht="18" customHeight="1">
      <c r="A3" s="5" t="inlineStr">
        <is>
          <t>COMMON BLOCKERS - Applied to Payment Deferral, Flex Modifications, and Disaster Programs</t>
        </is>
      </c>
    </row>
    <row r="4" ht="30" customHeight="1">
      <c r="A4" s="3" t="inlineStr">
        <is>
          <t>Common Blocker</t>
        </is>
      </c>
      <c r="B4" s="3" t="inlineStr">
        <is>
          <t>No Recourse/Indemnification with FNMA</t>
        </is>
      </c>
      <c r="C4" s="3" t="inlineStr">
        <is>
          <t>fnmaRecourseArrangement</t>
        </is>
      </c>
      <c r="D4" s="3">
        <f> FALSE</f>
        <v/>
      </c>
      <c r="E4" s="3" t="inlineStr">
        <is>
          <t>No recourse or indemnification arrangement with FNMA</t>
        </is>
      </c>
      <c r="F4" s="3" t="inlineStr">
        <is>
          <t>Recourse arrangement exists -&gt; ineligible for deferral/mod</t>
        </is>
      </c>
    </row>
    <row r="5" ht="30" customHeight="1">
      <c r="A5" s="4" t="inlineStr">
        <is>
          <t>Common Blocker</t>
        </is>
      </c>
      <c r="B5" s="4" t="inlineStr">
        <is>
          <t>No Approved Liquidation Option Active</t>
        </is>
      </c>
      <c r="C5" s="4" t="inlineStr">
        <is>
          <t>fnmaActiveLiquidation</t>
        </is>
      </c>
      <c r="D5" s="4">
        <f> FALSE</f>
        <v/>
      </c>
      <c r="E5" s="4" t="inlineStr">
        <is>
          <t>No active approved liquidation (short sale, DIL) in process</t>
        </is>
      </c>
      <c r="F5" s="4" t="inlineStr">
        <is>
          <t>Active liquidation option -&gt; complete that first</t>
        </is>
      </c>
    </row>
    <row r="6" ht="30" customHeight="1">
      <c r="A6" s="3" t="inlineStr">
        <is>
          <t>Common Blocker</t>
        </is>
      </c>
      <c r="B6" s="3" t="inlineStr">
        <is>
          <t>No Active/Performing Repayment Plan</t>
        </is>
      </c>
      <c r="C6" s="3" t="inlineStr">
        <is>
          <t>fnmaActiveRepayPlan</t>
        </is>
      </c>
      <c r="D6" s="3">
        <f> FALSE</f>
        <v/>
      </c>
      <c r="E6" s="3" t="inlineStr">
        <is>
          <t>No active repayment plan currently performing</t>
        </is>
      </c>
      <c r="F6" s="3" t="inlineStr">
        <is>
          <t>Active RPP -&gt; must complete or default first</t>
        </is>
      </c>
    </row>
    <row r="7" ht="30" customHeight="1">
      <c r="A7" s="4" t="inlineStr">
        <is>
          <t>Common Blocker</t>
        </is>
      </c>
      <c r="B7" s="4" t="inlineStr">
        <is>
          <t>No Pending Workout Option Offer</t>
        </is>
      </c>
      <c r="C7" s="4" t="inlineStr">
        <is>
          <t>fnmaActivePendingOffer</t>
        </is>
      </c>
      <c r="D7" s="4">
        <f> FALSE</f>
        <v/>
      </c>
      <c r="E7" s="4" t="inlineStr">
        <is>
          <t>No pending workout offer outstanding to borrower</t>
        </is>
      </c>
      <c r="F7" s="4" t="inlineStr">
        <is>
          <t>Pending offer -&gt; resolve that offer first</t>
        </is>
      </c>
    </row>
    <row r="8" ht="30" customHeight="1">
      <c r="A8" s="3" t="inlineStr">
        <is>
          <t>Common Blocker</t>
        </is>
      </c>
      <c r="B8" s="3" t="inlineStr">
        <is>
          <t>No Active/Performing Modification TPP</t>
        </is>
      </c>
      <c r="C8" s="3" t="inlineStr">
        <is>
          <t>fnmaActiveTPP</t>
        </is>
      </c>
      <c r="D8" s="3">
        <f> FALSE</f>
        <v/>
      </c>
      <c r="E8" s="3" t="inlineStr">
        <is>
          <t>No active trial payment plan in progress</t>
        </is>
      </c>
      <c r="F8" s="3" t="inlineStr">
        <is>
          <t>Active TPP -&gt; complete trial period first</t>
        </is>
      </c>
    </row>
    <row r="9" ht="18" customHeight="1">
      <c r="A9" s="5" t="inlineStr">
        <is>
          <t>FNMA REINSTATEMENT (LM.R1304)</t>
        </is>
      </c>
    </row>
    <row r="10" ht="30" customHeight="1">
      <c r="A10" s="4" t="inlineStr">
        <is>
          <t>FNMA Reinstatement</t>
        </is>
      </c>
      <c r="B10" s="4" t="inlineStr">
        <is>
          <t>Past-Due Amounts Exist</t>
        </is>
      </c>
      <c r="C10" s="4" t="inlineStr">
        <is>
          <t>arrearagesToCapitalize &gt; 0 OR delinquencyMonths &gt; 0</t>
        </is>
      </c>
      <c r="D10" s="4" t="inlineStr">
        <is>
          <t>&gt; 0 arrears OR DLQ &gt; 0</t>
        </is>
      </c>
      <c r="E10" s="4" t="inlineStr">
        <is>
          <t>Any past-due balance or delinquency exists</t>
        </is>
      </c>
      <c r="F10" s="4" t="inlineStr">
        <is>
          <t>Loan is current with no arrears</t>
        </is>
      </c>
    </row>
    <row r="11" ht="30" customHeight="1">
      <c r="A11" s="3" t="inlineStr">
        <is>
          <t>FNMA Reinstatement</t>
        </is>
      </c>
      <c r="B11" s="3" t="inlineStr">
        <is>
          <t>Liquid Assets Available (if entered)</t>
        </is>
      </c>
      <c r="C11" s="3" t="inlineStr">
        <is>
          <t>cashReservesAmount (if populated)</t>
        </is>
      </c>
      <c r="D11" s="3" t="inlineStr">
        <is>
          <t>&gt; $0 if entered</t>
        </is>
      </c>
      <c r="E11" s="3" t="inlineStr">
        <is>
          <t>Cash reserves are positive (or field not entered)</t>
        </is>
      </c>
      <c r="F11" s="3" t="inlineStr">
        <is>
          <t>Cash reserves entered as $0 -&gt; no funds for reinstatement (LM.R1304)</t>
        </is>
      </c>
    </row>
    <row r="12" ht="18" customHeight="1">
      <c r="A12" s="5" t="inlineStr">
        <is>
          <t>FNMA FORBEARANCE PLAN (D2-3.2-01)</t>
        </is>
      </c>
    </row>
    <row r="13" ht="30" customHeight="1">
      <c r="A13" s="4" t="inlineStr">
        <is>
          <t>Forbearance Plan</t>
        </is>
      </c>
      <c r="B13" s="4" t="inlineStr">
        <is>
          <t>Eligible Hardship</t>
        </is>
      </c>
      <c r="C13" s="4" t="inlineStr">
        <is>
          <t>hardshipType</t>
        </is>
      </c>
      <c r="D13" s="4" t="inlineStr">
        <is>
          <t>Not = 'None'</t>
        </is>
      </c>
      <c r="E13" s="4" t="inlineStr">
        <is>
          <t>Any qualifying hardship type entered</t>
        </is>
      </c>
      <c r="F13" s="4" t="inlineStr">
        <is>
          <t>Hardship type = None or not selected</t>
        </is>
      </c>
    </row>
    <row r="14" ht="30" customHeight="1">
      <c r="A14" s="3" t="inlineStr">
        <is>
          <t>Forbearance Plan</t>
        </is>
      </c>
      <c r="B14" s="3" t="inlineStr">
        <is>
          <t>Property Type Eligible</t>
        </is>
      </c>
      <c r="C14" s="3" t="inlineStr">
        <is>
          <t>fnmaPropertyType</t>
        </is>
      </c>
      <c r="D14" s="3">
        <f> Principal Residence OR fnmaDisasterHardship = TRUE</f>
        <v/>
      </c>
      <c r="E14" s="3" t="inlineStr">
        <is>
          <t>Principal residence; OR disaster hardship (2nd home/investment eligible for disaster)</t>
        </is>
      </c>
      <c r="F14" s="3" t="inlineStr">
        <is>
          <t>Non-principal property without disaster hardship</t>
        </is>
      </c>
    </row>
    <row r="15" ht="30" customHeight="1">
      <c r="A15" s="4" t="inlineStr">
        <is>
          <t>Forbearance Plan</t>
        </is>
      </c>
      <c r="B15" s="4" t="inlineStr">
        <is>
          <t>Property Not Condemned/Abandoned</t>
        </is>
      </c>
      <c r="C15" s="4" t="inlineStr">
        <is>
          <t>propertyCondition, occupancyAbandoned</t>
        </is>
      </c>
      <c r="D15" s="4" t="inlineStr">
        <is>
          <t>Not Condemned AND not abandoned</t>
        </is>
      </c>
      <c r="E15" s="4" t="inlineStr">
        <is>
          <t>Property habitable and occupied</t>
        </is>
      </c>
      <c r="F15" s="4" t="inlineStr">
        <is>
          <t>Condemned or abandoned property</t>
        </is>
      </c>
    </row>
    <row r="16" ht="18" customHeight="1">
      <c r="A16" s="5" t="inlineStr">
        <is>
          <t>FNMA REPAYMENT PLAN (D2-3.2-02)</t>
        </is>
      </c>
    </row>
    <row r="17" ht="30" customHeight="1">
      <c r="A17" s="3" t="inlineStr">
        <is>
          <t>Repayment Plan</t>
        </is>
      </c>
      <c r="B17" s="3" t="inlineStr">
        <is>
          <t>Non-Disaster Hardship</t>
        </is>
      </c>
      <c r="C17" s="3" t="inlineStr">
        <is>
          <t>hardshipType</t>
        </is>
      </c>
      <c r="D17" s="3" t="inlineStr">
        <is>
          <t>Not Disaster</t>
        </is>
      </c>
      <c r="E17" s="3" t="inlineStr">
        <is>
          <t>Non-disaster hardship</t>
        </is>
      </c>
      <c r="F17" s="3" t="inlineStr">
        <is>
          <t>Disaster hardship -&gt; use Disaster track</t>
        </is>
      </c>
    </row>
    <row r="18" ht="30" customHeight="1">
      <c r="A18" s="4" t="inlineStr">
        <is>
          <t>Repayment Plan</t>
        </is>
      </c>
      <c r="B18" s="4" t="inlineStr">
        <is>
          <t>Hardship Resolved</t>
        </is>
      </c>
      <c r="C18" s="4" t="inlineStr">
        <is>
          <t>fnmaHardshipResolved</t>
        </is>
      </c>
      <c r="D18" s="4">
        <f> TRUE</f>
        <v/>
      </c>
      <c r="E18" s="4" t="inlineStr">
        <is>
          <t>Hardship appears resolved (temporary)</t>
        </is>
      </c>
      <c r="F18" s="4" t="inlineStr">
        <is>
          <t>Ongoing hardship -&gt; use Forbearance Plan</t>
        </is>
      </c>
    </row>
    <row r="19" ht="30" customHeight="1">
      <c r="A19" s="3" t="inlineStr">
        <is>
          <t>Repayment Plan</t>
        </is>
      </c>
      <c r="B19" s="3" t="inlineStr">
        <is>
          <t>Property Not Condemned/Abandoned</t>
        </is>
      </c>
      <c r="C19" s="3" t="inlineStr">
        <is>
          <t>propertyCondition, occupancyAbandoned</t>
        </is>
      </c>
      <c r="D19" s="3" t="inlineStr">
        <is>
          <t>Not Condemned AND not abandoned</t>
        </is>
      </c>
      <c r="E19" s="3" t="inlineStr">
        <is>
          <t>Property habitable and occupied</t>
        </is>
      </c>
      <c r="F19" s="3" t="inlineStr">
        <is>
          <t>Condemned or abandoned</t>
        </is>
      </c>
    </row>
    <row r="20" ht="18" customHeight="1">
      <c r="A20" s="5" t="inlineStr">
        <is>
          <t>FNMA PAYMENT DEFERRAL (D2-3.2-04)</t>
        </is>
      </c>
    </row>
    <row r="21" ht="30" customHeight="1">
      <c r="A21" s="4" t="inlineStr">
        <is>
          <t>Payment Deferral</t>
        </is>
      </c>
      <c r="B21" s="4" t="inlineStr">
        <is>
          <t>Non-Disaster Hardship</t>
        </is>
      </c>
      <c r="C21" s="4" t="inlineStr">
        <is>
          <t>hardshipType</t>
        </is>
      </c>
      <c r="D21" s="4" t="inlineStr">
        <is>
          <t>Not Disaster</t>
        </is>
      </c>
      <c r="E21" s="4" t="inlineStr">
        <is>
          <t>Non-disaster hardship</t>
        </is>
      </c>
      <c r="F21" s="4" t="inlineStr">
        <is>
          <t>Disaster -&gt; use Disaster Payment Deferral</t>
        </is>
      </c>
    </row>
    <row r="22" ht="30" customHeight="1">
      <c r="A22" s="3" t="inlineStr">
        <is>
          <t>Payment Deferral</t>
        </is>
      </c>
      <c r="B22" s="3" t="inlineStr">
        <is>
          <t>Conventional 1st Lien</t>
        </is>
      </c>
      <c r="C22" s="3" t="inlineStr">
        <is>
          <t>lienPosition</t>
        </is>
      </c>
      <c r="D22" s="3">
        <f> First</f>
        <v/>
      </c>
      <c r="E22" s="3" t="inlineStr">
        <is>
          <t>First lien position</t>
        </is>
      </c>
      <c r="F22" s="3" t="inlineStr">
        <is>
          <t>Subordinate lien</t>
        </is>
      </c>
    </row>
    <row r="23" ht="30" customHeight="1">
      <c r="A23" s="4" t="inlineStr">
        <is>
          <t>Payment Deferral</t>
        </is>
      </c>
      <c r="B23" s="4" t="inlineStr">
        <is>
          <t>Loan Age &gt;= 12 Months</t>
        </is>
      </c>
      <c r="C23" s="4" t="inlineStr">
        <is>
          <t>noteDate / noteFirstPaymentDate (auto) OR fnmaLoanAge (manual)</t>
        </is>
      </c>
      <c r="D23" s="4" t="inlineStr">
        <is>
          <t>&gt;= 12 months</t>
        </is>
      </c>
      <c r="E23" s="4" t="inlineStr">
        <is>
          <t>Loan at least 12 months old</t>
        </is>
      </c>
      <c r="F23" s="4" t="inlineStr">
        <is>
          <t>&lt; 12 months old</t>
        </is>
      </c>
    </row>
    <row r="24" ht="30" customHeight="1">
      <c r="A24" s="3" t="inlineStr">
        <is>
          <t>Payment Deferral</t>
        </is>
      </c>
      <c r="B24" s="3" t="inlineStr">
        <is>
          <t>DLQ 2-6 Months at Evaluation</t>
        </is>
      </c>
      <c r="C24" s="3" t="inlineStr">
        <is>
          <t>delinquencyMonths</t>
        </is>
      </c>
      <c r="D24" s="3" t="inlineStr">
        <is>
          <t>&gt;= 2 AND &lt;= 6 months</t>
        </is>
      </c>
      <c r="E24" s="3" t="inlineStr">
        <is>
          <t>2, 3, 4, 5, or 6 months DLQ</t>
        </is>
      </c>
      <c r="F24" s="3" t="inlineStr">
        <is>
          <t>&lt; 2 months or &gt; 6 months DLQ</t>
        </is>
      </c>
    </row>
    <row r="25" ht="30" customHeight="1">
      <c r="A25" s="4" t="inlineStr">
        <is>
          <t>Payment Deferral</t>
        </is>
      </c>
      <c r="B25" s="4" t="inlineStr">
        <is>
          <t>Hardship Resolved OR Imminent Default</t>
        </is>
      </c>
      <c r="C25" s="4" t="inlineStr">
        <is>
          <t>fnmaHardshipResolved OR fnmaImminentDefaultAuto</t>
        </is>
      </c>
      <c r="D25" s="4" t="inlineStr">
        <is>
          <t>At least one = TRUE</t>
        </is>
      </c>
      <c r="E25" s="4" t="inlineStr">
        <is>
          <t>Hardship resolved OR imminent default criteria met</t>
        </is>
      </c>
      <c r="F25" s="4" t="inlineStr">
        <is>
          <t>Neither resolved nor imminent default</t>
        </is>
      </c>
    </row>
    <row r="26" ht="30" customHeight="1">
      <c r="A26" s="3" t="inlineStr">
        <is>
          <t>Payment Deferral</t>
        </is>
      </c>
      <c r="B26" s="3" t="inlineStr">
        <is>
          <t>Can Resume Full Contractual Payment</t>
        </is>
      </c>
      <c r="C26" s="3" t="inlineStr">
        <is>
          <t>fnmaCanResumeFull</t>
        </is>
      </c>
      <c r="D26" s="3">
        <f> TRUE</f>
        <v/>
      </c>
      <c r="E26" s="3" t="inlineStr">
        <is>
          <t>Borrower can resume making full scheduled payment</t>
        </is>
      </c>
      <c r="F26" s="3" t="inlineStr">
        <is>
          <t>Cannot resume full payment</t>
        </is>
      </c>
    </row>
    <row r="27" ht="30" customHeight="1">
      <c r="A27" s="4" t="inlineStr">
        <is>
          <t>Payment Deferral</t>
        </is>
      </c>
      <c r="B27" s="4" t="inlineStr">
        <is>
          <t>Cannot Reinstate or Afford Repayment Plan</t>
        </is>
      </c>
      <c r="C27" s="4" t="inlineStr">
        <is>
          <t>fnmaCannotReinstate</t>
        </is>
      </c>
      <c r="D27" s="4">
        <f> TRUE</f>
        <v/>
      </c>
      <c r="E27" s="4" t="inlineStr">
        <is>
          <t>Borrower cannot pay all arrears in lump sum or afford RPP</t>
        </is>
      </c>
      <c r="F27" s="4" t="inlineStr">
        <is>
          <t>Can reinstate or afford RPP -&gt; use those options first</t>
        </is>
      </c>
    </row>
    <row r="28" ht="30" customHeight="1">
      <c r="A28" s="3" t="inlineStr">
        <is>
          <t>Payment Deferral</t>
        </is>
      </c>
      <c r="B28" s="3" t="inlineStr">
        <is>
          <t>Cumulative Deferred + Current DLQ &lt;= 12 Months (Lifetime)</t>
        </is>
      </c>
      <c r="C28" s="3" t="inlineStr">
        <is>
          <t>Calc: fnmaCumulativeDeferredMonths + delinquencyMonths</t>
        </is>
      </c>
      <c r="D28" s="3" t="inlineStr">
        <is>
          <t>&lt;= 12 months total</t>
        </is>
      </c>
      <c r="E28" s="3" t="inlineStr">
        <is>
          <t>Lifetime aggregate within 12-month cap</t>
        </is>
      </c>
      <c r="F28" s="3" t="inlineStr">
        <is>
          <t>Would exceed 12-month lifetime cap (D2-3.2-04)</t>
        </is>
      </c>
    </row>
    <row r="29" ht="30" customHeight="1">
      <c r="A29" s="4" t="inlineStr">
        <is>
          <t>Payment Deferral</t>
        </is>
      </c>
      <c r="B29" s="4" t="inlineStr">
        <is>
          <t>Prior Deferral &gt;= 12 Months Ago OR Never</t>
        </is>
      </c>
      <c r="C29" s="4" t="inlineStr">
        <is>
          <t>fnmaPriorDeferralMonths</t>
        </is>
      </c>
      <c r="D29" s="4">
        <f> 0 (never) OR &gt;= 12 months ago</f>
        <v/>
      </c>
      <c r="E29" s="4" t="inlineStr">
        <is>
          <t>No prior deferral OR last deferral was &gt;= 12 months ago</t>
        </is>
      </c>
      <c r="F29" s="4" t="inlineStr">
        <is>
          <t>Prior deferral was &lt; 12 months ago -&gt; too soon</t>
        </is>
      </c>
    </row>
    <row r="30" ht="30" customHeight="1">
      <c r="A30" s="3" t="inlineStr">
        <is>
          <t>Payment Deferral</t>
        </is>
      </c>
      <c r="B30" s="3" t="inlineStr">
        <is>
          <t>Not Within 36 Months of Maturity</t>
        </is>
      </c>
      <c r="C30" s="3" t="inlineStr">
        <is>
          <t>originalMaturityDate (auto) OR fnmaWithin36MonthsMaturity (manual)</t>
        </is>
      </c>
      <c r="D30" s="3" t="inlineStr">
        <is>
          <t>Maturity &gt; 36 months away</t>
        </is>
      </c>
      <c r="E30" s="3" t="inlineStr">
        <is>
          <t>Adequate remaining loan life</t>
        </is>
      </c>
      <c r="F30" s="3" t="inlineStr">
        <is>
          <t>Within 36 months of maturity -&gt; ineligible</t>
        </is>
      </c>
    </row>
    <row r="31" ht="30" customHeight="1">
      <c r="A31" s="4" t="inlineStr">
        <is>
          <t>Payment Deferral</t>
        </is>
      </c>
      <c r="B31" s="4" t="inlineStr">
        <is>
          <t>No Failed Flex Mod TPP Within 12 Months</t>
        </is>
      </c>
      <c r="C31" s="4" t="inlineStr">
        <is>
          <t>fnmaFailedTPP12Months</t>
        </is>
      </c>
      <c r="D31" s="4">
        <f> FALSE</f>
        <v/>
      </c>
      <c r="E31" s="4" t="inlineStr">
        <is>
          <t>No failed Flex Modification trial plan in last 12 months</t>
        </is>
      </c>
      <c r="F31" s="4" t="inlineStr">
        <is>
          <t>Failed TPP within 12 months</t>
        </is>
      </c>
    </row>
    <row r="32" ht="30" customHeight="1">
      <c r="A32" s="3" t="inlineStr">
        <is>
          <t>Payment Deferral</t>
        </is>
      </c>
      <c r="B32" s="3" t="inlineStr">
        <is>
          <t>QRPC Achieved</t>
        </is>
      </c>
      <c r="C32" s="3" t="inlineStr">
        <is>
          <t>fnmaQRPCAchieved</t>
        </is>
      </c>
      <c r="D32" s="3">
        <f> TRUE</f>
        <v/>
      </c>
      <c r="E32" s="3" t="inlineStr">
        <is>
          <t>Qualified Right Party Contact achieved (D2-3.2-01)</t>
        </is>
      </c>
      <c r="F32" s="3" t="inlineStr">
        <is>
          <t>QRPC not yet achieved</t>
        </is>
      </c>
    </row>
    <row r="33" ht="30" customHeight="1">
      <c r="A33" s="4" t="inlineStr">
        <is>
          <t>Payment Deferral</t>
        </is>
      </c>
      <c r="B33" s="4" t="inlineStr">
        <is>
          <t>All Common Blockers Clear</t>
        </is>
      </c>
      <c r="C33" s="4" t="inlineStr">
        <is>
          <t>fnmaRecourseArrangement, fnmaActiveLiquidation, fnmaActiveRepayPlan, fnmaActivePendingOffer, fnmaActiveTPP</t>
        </is>
      </c>
      <c r="D33" s="4" t="inlineStr">
        <is>
          <t>All = FALSE</t>
        </is>
      </c>
      <c r="E33" s="4" t="inlineStr">
        <is>
          <t>No active blockers</t>
        </is>
      </c>
      <c r="F33" s="4" t="inlineStr">
        <is>
          <t>Any common blocker active</t>
        </is>
      </c>
    </row>
    <row r="34" ht="18" customHeight="1">
      <c r="A34" s="5" t="inlineStr">
        <is>
          <t>FNMA STREAMLINED PAYMENT DEFERRAL (D2-3.2-04 / LM.R1447 / LM.R1452)</t>
        </is>
      </c>
    </row>
    <row r="35" ht="30" customHeight="1">
      <c r="A35" s="3" t="inlineStr">
        <is>
          <t>Streamlined Deferral</t>
        </is>
      </c>
      <c r="B35" s="3" t="inlineStr">
        <is>
          <t>Non-Disaster Hardship</t>
        </is>
      </c>
      <c r="C35" s="3" t="inlineStr">
        <is>
          <t>hardshipType</t>
        </is>
      </c>
      <c r="D35" s="3" t="inlineStr">
        <is>
          <t>Not Disaster</t>
        </is>
      </c>
      <c r="E35" s="3" t="inlineStr">
        <is>
          <t>Non-disaster hardship</t>
        </is>
      </c>
      <c r="F35" s="3" t="inlineStr">
        <is>
          <t>Disaster hardship</t>
        </is>
      </c>
    </row>
    <row r="36" ht="30" customHeight="1">
      <c r="A36" s="4" t="inlineStr">
        <is>
          <t>Streamlined Deferral</t>
        </is>
      </c>
      <c r="B36" s="4" t="inlineStr">
        <is>
          <t>Conventional 1st Lien</t>
        </is>
      </c>
      <c r="C36" s="4" t="inlineStr">
        <is>
          <t>lienPosition</t>
        </is>
      </c>
      <c r="D36" s="4">
        <f> First</f>
        <v/>
      </c>
      <c r="E36" s="4" t="inlineStr">
        <is>
          <t>First lien</t>
        </is>
      </c>
      <c r="F36" s="4" t="inlineStr">
        <is>
          <t>Junior lien</t>
        </is>
      </c>
    </row>
    <row r="37" ht="30" customHeight="1">
      <c r="A37" s="3" t="inlineStr">
        <is>
          <t>Streamlined Deferral</t>
        </is>
      </c>
      <c r="B37" s="3" t="inlineStr">
        <is>
          <t>Loan Age &gt;= 12 Months</t>
        </is>
      </c>
      <c r="C37" s="3" t="inlineStr">
        <is>
          <t>noteDate / noteFirstPaymentDate (auto) OR fnmaLoanAge (manual)</t>
        </is>
      </c>
      <c r="D37" s="3" t="inlineStr">
        <is>
          <t>&gt;= 12 months</t>
        </is>
      </c>
      <c r="E37" s="3" t="inlineStr">
        <is>
          <t>Loan &gt;= 12 months old</t>
        </is>
      </c>
      <c r="F37" s="3" t="inlineStr">
        <is>
          <t>&lt; 12 months</t>
        </is>
      </c>
    </row>
    <row r="38" ht="30" customHeight="1">
      <c r="A38" s="4" t="inlineStr">
        <is>
          <t>Streamlined Deferral</t>
        </is>
      </c>
      <c r="B38" s="4" t="inlineStr">
        <is>
          <t>DLQ 2-6 Months</t>
        </is>
      </c>
      <c r="C38" s="4" t="inlineStr">
        <is>
          <t>delinquencyMonths</t>
        </is>
      </c>
      <c r="D38" s="4" t="inlineStr">
        <is>
          <t>&gt;= 2 AND &lt;= 6 months</t>
        </is>
      </c>
      <c r="E38" s="4" t="inlineStr">
        <is>
          <t>2-6 months DLQ</t>
        </is>
      </c>
      <c r="F38" s="4" t="inlineStr">
        <is>
          <t>Out of range</t>
        </is>
      </c>
    </row>
    <row r="39" ht="30" customHeight="1">
      <c r="A39" s="3" t="inlineStr">
        <is>
          <t>Streamlined Deferral</t>
        </is>
      </c>
      <c r="B39" s="3" t="inlineStr">
        <is>
          <t>Solicitation Campaign Active (Campaign MODNRC)</t>
        </is>
      </c>
      <c r="C39" s="3" t="inlineStr">
        <is>
          <t>fnmaSolicitationCampaign</t>
        </is>
      </c>
      <c r="D39" s="3">
        <f> TRUE</f>
        <v/>
      </c>
      <c r="E39" s="3" t="inlineStr">
        <is>
          <t>FNMA solicitation campaign (Campaign MODNRC) is active for this loan</t>
        </is>
      </c>
      <c r="F39" s="3" t="inlineStr">
        <is>
          <t>No active campaign -&gt; use standard Payment Deferral instead</t>
        </is>
      </c>
    </row>
    <row r="40" ht="30" customHeight="1">
      <c r="A40" s="4" t="inlineStr">
        <is>
          <t>Streamlined Deferral</t>
        </is>
      </c>
      <c r="B40" s="4" t="inlineStr">
        <is>
          <t>Cumulative Deferred &lt; 12 Months (Strict)</t>
        </is>
      </c>
      <c r="C40" s="4" t="inlineStr">
        <is>
          <t>fnmaCumulativeDeferredMonths</t>
        </is>
      </c>
      <c r="D40" s="4" t="inlineStr">
        <is>
          <t>&lt; 12 months (strictly less than)</t>
        </is>
      </c>
      <c r="E40" s="4" t="inlineStr">
        <is>
          <t>Prior deferrals &lt; 12 months</t>
        </is>
      </c>
      <c r="F40" s="4" t="inlineStr">
        <is>
          <t>&gt;= 12 months already deferred (stricter than standard deferral cap)</t>
        </is>
      </c>
    </row>
    <row r="41" ht="30" customHeight="1">
      <c r="A41" s="3" t="inlineStr">
        <is>
          <t>Streamlined Deferral</t>
        </is>
      </c>
      <c r="B41" s="3" t="inlineStr">
        <is>
          <t>Prior Deferral &gt;= 12 Months Ago OR Never</t>
        </is>
      </c>
      <c r="C41" s="3" t="inlineStr">
        <is>
          <t>fnmaPriorDeferralMonths</t>
        </is>
      </c>
      <c r="D41" s="3">
        <f> 0 OR &gt;= 12 months ago</f>
        <v/>
      </c>
      <c r="E41" s="3" t="inlineStr">
        <is>
          <t>No prior or &gt;= 12mo gap</t>
        </is>
      </c>
      <c r="F41" s="3" t="inlineStr">
        <is>
          <t>&lt; 12 months since last deferral</t>
        </is>
      </c>
    </row>
    <row r="42" ht="30" customHeight="1">
      <c r="A42" s="4" t="inlineStr">
        <is>
          <t>Streamlined Deferral</t>
        </is>
      </c>
      <c r="B42" s="4" t="inlineStr">
        <is>
          <t>Not Within 36 Months of Maturity</t>
        </is>
      </c>
      <c r="C42" s="4" t="inlineStr">
        <is>
          <t>originalMaturityDate (auto) OR fnmaWithin36MonthsMaturity (manual)</t>
        </is>
      </c>
      <c r="D42" s="4" t="inlineStr">
        <is>
          <t>Maturity &gt; 36 months away</t>
        </is>
      </c>
      <c r="E42" s="4" t="inlineStr">
        <is>
          <t>Adequate remaining term</t>
        </is>
      </c>
      <c r="F42" s="4" t="inlineStr">
        <is>
          <t>Within 36mo of maturity</t>
        </is>
      </c>
    </row>
    <row r="43" ht="30" customHeight="1">
      <c r="A43" s="3" t="inlineStr">
        <is>
          <t>Streamlined Deferral</t>
        </is>
      </c>
      <c r="B43" s="3" t="inlineStr">
        <is>
          <t>No Failed Flex Mod TPP Within 12 Months</t>
        </is>
      </c>
      <c r="C43" s="3" t="inlineStr">
        <is>
          <t>fnmaFailedTPP12Months</t>
        </is>
      </c>
      <c r="D43" s="3">
        <f> FALSE</f>
        <v/>
      </c>
      <c r="E43" s="3" t="inlineStr">
        <is>
          <t>No failed TPP in last 12 months</t>
        </is>
      </c>
      <c r="F43" s="3" t="inlineStr">
        <is>
          <t>Failed TPP within 12 months</t>
        </is>
      </c>
    </row>
    <row r="44" ht="30" customHeight="1">
      <c r="A44" s="4" t="inlineStr">
        <is>
          <t>Streamlined Deferral</t>
        </is>
      </c>
      <c r="B44" s="4" t="inlineStr">
        <is>
          <t>No BRP or Hardship Resolution Required</t>
        </is>
      </c>
      <c r="C44" s="4" t="inlineStr">
        <is>
          <t>N/A</t>
        </is>
      </c>
      <c r="D44" s="4" t="inlineStr">
        <is>
          <t>No documentation required</t>
        </is>
      </c>
      <c r="E44" s="4" t="inlineStr">
        <is>
          <t>No income docs, no hardship resolution, no QRPC required</t>
        </is>
      </c>
      <c r="F44" s="4" t="inlineStr">
        <is>
          <t>KEY ADVANTAGE: FNMA proactive solicitation only</t>
        </is>
      </c>
    </row>
    <row r="45" ht="30" customHeight="1">
      <c r="A45" s="3" t="inlineStr">
        <is>
          <t>Streamlined Deferral</t>
        </is>
      </c>
      <c r="B45" s="3" t="inlineStr">
        <is>
          <t>All Common Blockers Clear</t>
        </is>
      </c>
      <c r="C45" s="3" t="inlineStr">
        <is>
          <t>All 5 common blocker fields</t>
        </is>
      </c>
      <c r="D45" s="3" t="inlineStr">
        <is>
          <t>All = FALSE</t>
        </is>
      </c>
      <c r="E45" s="3" t="inlineStr">
        <is>
          <t>No active blockers</t>
        </is>
      </c>
      <c r="F45" s="3" t="inlineStr">
        <is>
          <t>Any common blocker active</t>
        </is>
      </c>
    </row>
    <row r="46" ht="18" customHeight="1">
      <c r="A46" s="5" t="inlineStr">
        <is>
          <t>FNMA DISASTER PAYMENT DEFERRAL (D2-3.2-05)</t>
        </is>
      </c>
    </row>
    <row r="47" ht="30" customHeight="1">
      <c r="A47" s="4" t="inlineStr">
        <is>
          <t>Disaster Deferral</t>
        </is>
      </c>
      <c r="B47" s="4" t="inlineStr">
        <is>
          <t>Disaster Hardship</t>
        </is>
      </c>
      <c r="C47" s="4" t="inlineStr">
        <is>
          <t>fnmaDisasterHardship</t>
        </is>
      </c>
      <c r="D47" s="4">
        <f> TRUE</f>
        <v/>
      </c>
      <c r="E47" s="4" t="inlineStr">
        <is>
          <t>Disaster hardship confirmed</t>
        </is>
      </c>
      <c r="F47" s="4" t="inlineStr">
        <is>
          <t>Non-disaster -&gt; use standard Payment Deferral</t>
        </is>
      </c>
    </row>
    <row r="48" ht="30" customHeight="1">
      <c r="A48" s="3" t="inlineStr">
        <is>
          <t>Disaster Deferral</t>
        </is>
      </c>
      <c r="B48" s="3" t="inlineStr">
        <is>
          <t>FEMA Designation OR Insured Property Loss</t>
        </is>
      </c>
      <c r="C48" s="3" t="inlineStr">
        <is>
          <t>fnmaFEMADesignation OR fnmaInsuredLoss</t>
        </is>
      </c>
      <c r="D48" s="3" t="inlineStr">
        <is>
          <t>At least one = TRUE</t>
        </is>
      </c>
      <c r="E48" s="3" t="inlineStr">
        <is>
          <t>Property in FEMA-designated area OR has documented insured loss</t>
        </is>
      </c>
      <c r="F48" s="3" t="inlineStr">
        <is>
          <t>Neither FEMA designation nor insured loss</t>
        </is>
      </c>
    </row>
    <row r="49" ht="30" customHeight="1">
      <c r="A49" s="4" t="inlineStr">
        <is>
          <t>Disaster Deferral</t>
        </is>
      </c>
      <c r="B49" s="4" t="inlineStr">
        <is>
          <t>Conventional 1st Lien</t>
        </is>
      </c>
      <c r="C49" s="4" t="inlineStr">
        <is>
          <t>lienPosition</t>
        </is>
      </c>
      <c r="D49" s="4">
        <f> First</f>
        <v/>
      </c>
      <c r="E49" s="4" t="inlineStr">
        <is>
          <t>First lien</t>
        </is>
      </c>
      <c r="F49" s="4" t="inlineStr">
        <is>
          <t>Junior lien</t>
        </is>
      </c>
    </row>
    <row r="50" ht="30" customHeight="1">
      <c r="A50" s="3" t="inlineStr">
        <is>
          <t>Disaster Deferral</t>
        </is>
      </c>
      <c r="B50" s="3" t="inlineStr">
        <is>
          <t>DLQ &lt; 2 Months at Time of Disaster</t>
        </is>
      </c>
      <c r="C50" s="3" t="inlineStr">
        <is>
          <t>fnmaDelinquencyAtDisaster</t>
        </is>
      </c>
      <c r="D50" s="3" t="inlineStr">
        <is>
          <t>&lt; 2 months (0 or 1 month)</t>
        </is>
      </c>
      <c r="E50" s="3" t="inlineStr">
        <is>
          <t>Was current or 1 month DLQ when disaster occurred</t>
        </is>
      </c>
      <c r="F50" s="3" t="inlineStr">
        <is>
          <t>&gt;= 2 months DLQ at time of disaster</t>
        </is>
      </c>
    </row>
    <row r="51" ht="30" customHeight="1">
      <c r="A51" s="4" t="inlineStr">
        <is>
          <t>Disaster Deferral</t>
        </is>
      </c>
      <c r="B51" s="4" t="inlineStr">
        <is>
          <t>Current DLQ 1-12 Months</t>
        </is>
      </c>
      <c r="C51" s="4" t="inlineStr">
        <is>
          <t>delinquencyMonths</t>
        </is>
      </c>
      <c r="D51" s="4" t="inlineStr">
        <is>
          <t>&gt;= 1 AND &lt;= 12 months</t>
        </is>
      </c>
      <c r="E51" s="4" t="inlineStr">
        <is>
          <t>1 to 12 months DLQ at evaluation</t>
        </is>
      </c>
      <c r="F51" s="4" t="inlineStr">
        <is>
          <t>&lt; 1 or &gt; 12 months DLQ now</t>
        </is>
      </c>
    </row>
    <row r="52" ht="30" customHeight="1">
      <c r="A52" s="3" t="inlineStr">
        <is>
          <t>Disaster Deferral</t>
        </is>
      </c>
      <c r="B52" s="3" t="inlineStr">
        <is>
          <t>Hardship Resolved</t>
        </is>
      </c>
      <c r="C52" s="3" t="inlineStr">
        <is>
          <t>fnmaHardshipResolved</t>
        </is>
      </c>
      <c r="D52" s="3">
        <f> TRUE</f>
        <v/>
      </c>
      <c r="E52" s="3" t="inlineStr">
        <is>
          <t>Disaster hardship has resolved</t>
        </is>
      </c>
      <c r="F52" s="3" t="inlineStr">
        <is>
          <t>Hardship still ongoing</t>
        </is>
      </c>
    </row>
    <row r="53" ht="30" customHeight="1">
      <c r="A53" s="4" t="inlineStr">
        <is>
          <t>Disaster Deferral</t>
        </is>
      </c>
      <c r="B53" s="4" t="inlineStr">
        <is>
          <t>Can Resume Full Contractual Payment</t>
        </is>
      </c>
      <c r="C53" s="4" t="inlineStr">
        <is>
          <t>fnmaCanResumeFull</t>
        </is>
      </c>
      <c r="D53" s="4">
        <f> TRUE</f>
        <v/>
      </c>
      <c r="E53" s="4" t="inlineStr">
        <is>
          <t>Can make full scheduled payment going forward</t>
        </is>
      </c>
      <c r="F53" s="4" t="inlineStr">
        <is>
          <t>Cannot resume full payment</t>
        </is>
      </c>
    </row>
    <row r="54" ht="30" customHeight="1">
      <c r="A54" s="3" t="inlineStr">
        <is>
          <t>Disaster Deferral</t>
        </is>
      </c>
      <c r="B54" s="3" t="inlineStr">
        <is>
          <t>Cannot Reinstate or Afford Repayment Plan</t>
        </is>
      </c>
      <c r="C54" s="3" t="inlineStr">
        <is>
          <t>fnmaCannotReinstate</t>
        </is>
      </c>
      <c r="D54" s="3">
        <f> TRUE</f>
        <v/>
      </c>
      <c r="E54" s="3" t="inlineStr">
        <is>
          <t>Cannot pay all arrears in lump sum or afford RPP</t>
        </is>
      </c>
      <c r="F54" s="3" t="inlineStr">
        <is>
          <t>Can reinstate -&gt; use reinstatement instead</t>
        </is>
      </c>
    </row>
    <row r="55" ht="30" customHeight="1">
      <c r="A55" s="4" t="inlineStr">
        <is>
          <t>Disaster Deferral</t>
        </is>
      </c>
      <c r="B55" s="4" t="inlineStr">
        <is>
          <t>No Prior Deferral for Same Disaster Event</t>
        </is>
      </c>
      <c r="C55" s="4" t="inlineStr">
        <is>
          <t>fnmaSameDlisasterPriorDeferral</t>
        </is>
      </c>
      <c r="D55" s="4">
        <f> FALSE</f>
        <v/>
      </c>
      <c r="E55" s="4" t="inlineStr">
        <is>
          <t>No prior deferral for this specific disaster event</t>
        </is>
      </c>
      <c r="F55" s="4" t="inlineStr">
        <is>
          <t>Prior deferral already granted for same disaster</t>
        </is>
      </c>
    </row>
    <row r="56" ht="30" customHeight="1">
      <c r="A56" s="3" t="inlineStr">
        <is>
          <t>Disaster Deferral</t>
        </is>
      </c>
      <c r="B56" s="3" t="inlineStr">
        <is>
          <t>Not Within 36 Months of Maturity</t>
        </is>
      </c>
      <c r="C56" s="3" t="inlineStr">
        <is>
          <t>originalMaturityDate (auto) OR fnmaWithin36MonthsMaturity</t>
        </is>
      </c>
      <c r="D56" s="3" t="inlineStr">
        <is>
          <t>Maturity &gt; 36 months away</t>
        </is>
      </c>
      <c r="E56" s="3" t="inlineStr">
        <is>
          <t>Adequate remaining term</t>
        </is>
      </c>
      <c r="F56" s="3" t="inlineStr">
        <is>
          <t>Within 36mo of maturity</t>
        </is>
      </c>
    </row>
    <row r="57" ht="30" customHeight="1">
      <c r="A57" s="4" t="inlineStr">
        <is>
          <t>Disaster Deferral</t>
        </is>
      </c>
      <c r="B57" s="4" t="inlineStr">
        <is>
          <t>All Common Blockers Clear</t>
        </is>
      </c>
      <c r="C57" s="4" t="inlineStr">
        <is>
          <t>All 5 common blocker fields</t>
        </is>
      </c>
      <c r="D57" s="4" t="inlineStr">
        <is>
          <t>All = FALSE</t>
        </is>
      </c>
      <c r="E57" s="4" t="inlineStr">
        <is>
          <t>No active blockers</t>
        </is>
      </c>
      <c r="F57" s="4" t="inlineStr">
        <is>
          <t>Any common blocker</t>
        </is>
      </c>
    </row>
    <row r="58" ht="18" customHeight="1">
      <c r="A58" s="5" t="inlineStr">
        <is>
          <t>FANNIE MAE FLEX MODIFICATION - STANDARD (D2-3.2-06 / LL-2024-02 / LM.R1074)</t>
        </is>
      </c>
    </row>
    <row r="59" ht="30" customHeight="1">
      <c r="A59" s="3" t="inlineStr">
        <is>
          <t>Flex Mod (Standard)</t>
        </is>
      </c>
      <c r="B59" s="3" t="inlineStr">
        <is>
          <t>Non-Disaster Hardship</t>
        </is>
      </c>
      <c r="C59" s="3" t="inlineStr">
        <is>
          <t>hardshipType</t>
        </is>
      </c>
      <c r="D59" s="3" t="inlineStr">
        <is>
          <t>Not Disaster</t>
        </is>
      </c>
      <c r="E59" s="3" t="inlineStr">
        <is>
          <t>Non-disaster hardship</t>
        </is>
      </c>
      <c r="F59" s="3" t="inlineStr">
        <is>
          <t>Disaster -&gt; use Flex Mod (Disaster)</t>
        </is>
      </c>
    </row>
    <row r="60" ht="30" customHeight="1">
      <c r="A60" s="4" t="inlineStr">
        <is>
          <t>Flex Mod (Standard)</t>
        </is>
      </c>
      <c r="B60" s="4" t="inlineStr">
        <is>
          <t>Conventional 1st Lien</t>
        </is>
      </c>
      <c r="C60" s="4" t="inlineStr">
        <is>
          <t>lienPosition</t>
        </is>
      </c>
      <c r="D60" s="4">
        <f> First</f>
        <v/>
      </c>
      <c r="E60" s="4" t="inlineStr">
        <is>
          <t>First lien</t>
        </is>
      </c>
      <c r="F60" s="4" t="inlineStr">
        <is>
          <t>Junior lien</t>
        </is>
      </c>
    </row>
    <row r="61" ht="30" customHeight="1">
      <c r="A61" s="3" t="inlineStr">
        <is>
          <t>Flex Mod (Standard)</t>
        </is>
      </c>
      <c r="B61" s="3" t="inlineStr">
        <is>
          <t>Loan Age &gt;= 12 Months</t>
        </is>
      </c>
      <c r="C61" s="3" t="inlineStr">
        <is>
          <t>noteDate / noteFirstPaymentDate (auto) OR fnmaLoanAge (manual)</t>
        </is>
      </c>
      <c r="D61" s="3" t="inlineStr">
        <is>
          <t>&gt;= 12 months</t>
        </is>
      </c>
      <c r="E61" s="3" t="inlineStr">
        <is>
          <t>Loan &gt;= 12 months old</t>
        </is>
      </c>
      <c r="F61" s="3" t="inlineStr">
        <is>
          <t>&lt; 12 months</t>
        </is>
      </c>
    </row>
    <row r="62" ht="30" customHeight="1">
      <c r="A62" s="4" t="inlineStr">
        <is>
          <t>Flex Mod (Standard)</t>
        </is>
      </c>
      <c r="B62" s="4" t="inlineStr">
        <is>
          <t>DLQ &gt;= 60 Days (2 months) OR Imminent Default</t>
        </is>
      </c>
      <c r="C62" s="4" t="inlineStr">
        <is>
          <t>delinquencyMonths &gt;= 2 OR fnmaImminentDefaultAuto</t>
        </is>
      </c>
      <c r="D62" s="4" t="inlineStr">
        <is>
          <t>&gt;= 2 months DLQ OR imminent default criteria met</t>
        </is>
      </c>
      <c r="E62" s="4" t="inlineStr">
        <is>
          <t>Either 60+ days DLQ or servicer imminent default determination</t>
        </is>
      </c>
      <c r="F62" s="4" t="inlineStr">
        <is>
          <t>&lt; 60 days DLQ and no imminent default</t>
        </is>
      </c>
    </row>
    <row r="63" ht="30" customHeight="1">
      <c r="A63" s="3" t="inlineStr">
        <is>
          <t>Flex Mod (Standard)</t>
        </is>
      </c>
      <c r="B63" s="3" t="inlineStr">
        <is>
          <t>Imminent Default Rule 1 (if ID path)</t>
        </is>
      </c>
      <c r="C63" s="3" t="inlineStr">
        <is>
          <t>fnmaPropertyType = Principal Residence AND fnmaLongTermHardship AND cash &lt; 3mo PITI</t>
        </is>
      </c>
      <c r="D63" s="3" t="inlineStr">
        <is>
          <t>All three = TRUE</t>
        </is>
      </c>
      <c r="E63" s="3" t="inlineStr">
        <is>
          <t>Primary residence + long-term hardship + cash reserves &lt; 3x monthly PITI</t>
        </is>
      </c>
      <c r="F63" s="3" t="inlineStr">
        <is>
          <t>Any of the three fails -&gt; no imminent default path</t>
        </is>
      </c>
    </row>
    <row r="64" ht="30" customHeight="1">
      <c r="A64" s="4" t="inlineStr">
        <is>
          <t>Flex Mod (Standard)</t>
        </is>
      </c>
      <c r="B64" s="4" t="inlineStr">
        <is>
          <t>Imminent Default Rule 2 (if ID path)</t>
        </is>
      </c>
      <c r="C64" s="4" t="inlineStr">
        <is>
          <t>fnmaFICO &lt;= 620 OR fnmaPrior30DLQ12Mo OR housingRatio &gt; 55%</t>
        </is>
      </c>
      <c r="D64" s="4" t="inlineStr">
        <is>
          <t>At least one = TRUE</t>
        </is>
      </c>
      <c r="E64" s="4" t="inlineStr">
        <is>
          <t>FICO &lt;= 620 OR 2x 30-day DLQ in prior 12mo OR housing expense ratio &gt; 55%</t>
        </is>
      </c>
      <c r="F64" s="4" t="inlineStr">
        <is>
          <t>None of the three conditions met</t>
        </is>
      </c>
    </row>
    <row r="65" ht="30" customHeight="1">
      <c r="A65" s="3" t="inlineStr">
        <is>
          <t>Flex Mod (Standard)</t>
        </is>
      </c>
      <c r="B65" s="3" t="inlineStr">
        <is>
          <t>Prior Modifications &lt; 3 (payment deferrals excluded)</t>
        </is>
      </c>
      <c r="C65" s="3" t="inlineStr">
        <is>
          <t>fnmaPriorModCount</t>
        </is>
      </c>
      <c r="D65" s="3" t="inlineStr">
        <is>
          <t>&lt; 3 prior mods</t>
        </is>
      </c>
      <c r="E65" s="3" t="inlineStr">
        <is>
          <t>0, 1, or 2 prior modifications</t>
        </is>
      </c>
      <c r="F65" s="3" t="inlineStr">
        <is>
          <t>&gt;= 3 prior mods</t>
        </is>
      </c>
    </row>
    <row r="66" ht="30" customHeight="1">
      <c r="A66" s="4" t="inlineStr">
        <is>
          <t>Flex Mod (Standard)</t>
        </is>
      </c>
      <c r="B66" s="4" t="inlineStr">
        <is>
          <t>No Failed Flex Mod TPP Within 12 Months</t>
        </is>
      </c>
      <c r="C66" s="4" t="inlineStr">
        <is>
          <t>fnmaFailedTPP12Months</t>
        </is>
      </c>
      <c r="D66" s="4">
        <f> FALSE</f>
        <v/>
      </c>
      <c r="E66" s="4" t="inlineStr">
        <is>
          <t>No failed trial plan in last 12 months</t>
        </is>
      </c>
      <c r="F66" s="4" t="inlineStr">
        <is>
          <t>Failed TPP within 12 months</t>
        </is>
      </c>
    </row>
    <row r="67" ht="30" customHeight="1">
      <c r="A67" s="3" t="inlineStr">
        <is>
          <t>Flex Mod (Standard)</t>
        </is>
      </c>
      <c r="B67" s="3" t="inlineStr">
        <is>
          <t>No 60-Day Re-Default Within 12 Months of Last Mod</t>
        </is>
      </c>
      <c r="C67" s="3" t="inlineStr">
        <is>
          <t>fnmaReDefaulted12Months</t>
        </is>
      </c>
      <c r="D67" s="3">
        <f> FALSE</f>
        <v/>
      </c>
      <c r="E67" s="3" t="inlineStr">
        <is>
          <t>No 60+ day re-default after last modification</t>
        </is>
      </c>
      <c r="F67" s="3" t="inlineStr">
        <is>
          <t>Re-defaulted within 12 months of last mod</t>
        </is>
      </c>
    </row>
    <row r="68" ht="30" customHeight="1">
      <c r="A68" s="4" t="inlineStr">
        <is>
          <t>Flex Mod (Standard)</t>
        </is>
      </c>
      <c r="B68" s="4" t="inlineStr">
        <is>
          <t>Not Modified Within Previous 12 Months</t>
        </is>
      </c>
      <c r="C68" s="4" t="inlineStr">
        <is>
          <t>fnmaModifiedWithin12Mo</t>
        </is>
      </c>
      <c r="D68" s="4">
        <f> FALSE</f>
        <v/>
      </c>
      <c r="E68" s="4" t="inlineStr">
        <is>
          <t>No modification in prior 12 months</t>
        </is>
      </c>
      <c r="F68" s="4" t="inlineStr">
        <is>
          <t>Modified within 12 months -&gt; wait for seasoning</t>
        </is>
      </c>
    </row>
    <row r="69" ht="30" customHeight="1">
      <c r="A69" s="3" t="inlineStr">
        <is>
          <t>Flex Mod (Standard)</t>
        </is>
      </c>
      <c r="B69" s="3" t="inlineStr">
        <is>
          <t>BRP / Income Documentation Complete (if DLQ &lt; 90d)</t>
        </is>
      </c>
      <c r="C69" s="3" t="inlineStr">
        <is>
          <t>fnmaBRPComplete (only if delinquencyMonths &lt; 3)</t>
        </is>
      </c>
      <c r="D69" s="3">
        <f> TRUE if DLQ &lt; 90 days</f>
        <v/>
      </c>
      <c r="E69" s="3" t="inlineStr">
        <is>
          <t>Complete BRP + income docs when DLQ &lt; 90d</t>
        </is>
      </c>
      <c r="F69" s="3" t="inlineStr">
        <is>
          <t>Incomplete BRP when DLQ &lt; 90d (not required for DLQ &gt;= 90d path)</t>
        </is>
      </c>
    </row>
    <row r="70" ht="30" customHeight="1">
      <c r="A70" s="4" t="inlineStr">
        <is>
          <t>Flex Mod (Standard)</t>
        </is>
      </c>
      <c r="B70" s="4" t="inlineStr">
        <is>
          <t>QRPC Achieved</t>
        </is>
      </c>
      <c r="C70" s="4" t="inlineStr">
        <is>
          <t>fnmaQRPCAchieved</t>
        </is>
      </c>
      <c r="D70" s="4">
        <f> TRUE</f>
        <v/>
      </c>
      <c r="E70" s="4" t="inlineStr">
        <is>
          <t>Qualified Right Party Contact achieved</t>
        </is>
      </c>
      <c r="F70" s="4" t="inlineStr">
        <is>
          <t>QRPC not achieved</t>
        </is>
      </c>
    </row>
    <row r="71" ht="30" customHeight="1">
      <c r="A71" s="3" t="inlineStr">
        <is>
          <t>Flex Mod (Standard)</t>
        </is>
      </c>
      <c r="B71" s="3" t="inlineStr">
        <is>
          <t>MI/PMI Insurer Approval (if applicable)</t>
        </is>
      </c>
      <c r="C71" s="3" t="inlineStr">
        <is>
          <t>fnmaHasMI = TRUE -&gt; fnmaMIApprovalConfirmed must be TRUE</t>
        </is>
      </c>
      <c r="D71" s="3">
        <f> TRUE if MI exists</f>
        <v/>
      </c>
      <c r="E71" s="3" t="inlineStr">
        <is>
          <t>Prior written approval from MI insurer (LM.R1074)</t>
        </is>
      </c>
      <c r="F71" s="3" t="inlineStr">
        <is>
          <t>MI exists but approval not confirmed</t>
        </is>
      </c>
    </row>
    <row r="72" ht="30" customHeight="1">
      <c r="A72" s="4" t="inlineStr">
        <is>
          <t>Flex Mod (Standard)</t>
        </is>
      </c>
      <c r="B72" s="4" t="inlineStr">
        <is>
          <t>MTMLTV Calculation (Advisory)</t>
        </is>
      </c>
      <c r="C72" s="4" t="inlineStr">
        <is>
          <t>Calc: (UPB + arrears + legal fees + prior deferred) / propertyValue * 100</t>
        </is>
      </c>
      <c r="D72" s="4" t="inlineStr">
        <is>
          <t>Advisory only (always passes)</t>
        </is>
      </c>
      <c r="E72" s="4" t="inlineStr">
        <is>
          <t>&gt;= 50%: enables rate reduction (LL-2024-02); &gt; 50%: enables principal forbearance</t>
        </is>
      </c>
      <c r="F72" s="4" t="inlineStr">
        <is>
          <t>Advisory - does not block eligibility; enter property value to auto-compute</t>
        </is>
      </c>
    </row>
    <row r="73" ht="30" customHeight="1">
      <c r="A73" s="3" t="inlineStr">
        <is>
          <t>Flex Mod (Standard)</t>
        </is>
      </c>
      <c r="B73" s="3" t="inlineStr">
        <is>
          <t>All Common Blockers Clear</t>
        </is>
      </c>
      <c r="C73" s="3" t="inlineStr">
        <is>
          <t>All 5 common blocker fields</t>
        </is>
      </c>
      <c r="D73" s="3" t="inlineStr">
        <is>
          <t>All = FALSE</t>
        </is>
      </c>
      <c r="E73" s="3" t="inlineStr">
        <is>
          <t>No active blockers</t>
        </is>
      </c>
      <c r="F73" s="3" t="inlineStr">
        <is>
          <t>Any common blocker</t>
        </is>
      </c>
    </row>
    <row r="74" ht="18" customHeight="1">
      <c r="A74" s="5" t="inlineStr">
        <is>
          <t>FANNIE MAE FLEX MODIFICATION - STREAMLINED (D2-3.2-06)</t>
        </is>
      </c>
    </row>
    <row r="75" ht="30" customHeight="1">
      <c r="A75" s="4" t="inlineStr">
        <is>
          <t>Flex Mod (Streamlined)</t>
        </is>
      </c>
      <c r="B75" s="4" t="inlineStr">
        <is>
          <t>Non-Disaster Hardship</t>
        </is>
      </c>
      <c r="C75" s="4" t="inlineStr">
        <is>
          <t>hardshipType</t>
        </is>
      </c>
      <c r="D75" s="4" t="inlineStr">
        <is>
          <t>Not Disaster</t>
        </is>
      </c>
      <c r="E75" s="4" t="inlineStr">
        <is>
          <t>Non-disaster hardship</t>
        </is>
      </c>
      <c r="F75" s="4" t="inlineStr">
        <is>
          <t>Disaster -&gt; use Flex Mod (Disaster)</t>
        </is>
      </c>
    </row>
    <row r="76" ht="30" customHeight="1">
      <c r="A76" s="3" t="inlineStr">
        <is>
          <t>Flex Mod (Streamlined)</t>
        </is>
      </c>
      <c r="B76" s="3" t="inlineStr">
        <is>
          <t>Conventional 1st Lien</t>
        </is>
      </c>
      <c r="C76" s="3" t="inlineStr">
        <is>
          <t>lienPosition</t>
        </is>
      </c>
      <c r="D76" s="3">
        <f> First</f>
        <v/>
      </c>
      <c r="E76" s="3" t="inlineStr">
        <is>
          <t>First lien</t>
        </is>
      </c>
      <c r="F76" s="3" t="inlineStr">
        <is>
          <t>Junior lien</t>
        </is>
      </c>
    </row>
    <row r="77" ht="30" customHeight="1">
      <c r="A77" s="4" t="inlineStr">
        <is>
          <t>Flex Mod (Streamlined)</t>
        </is>
      </c>
      <c r="B77" s="4" t="inlineStr">
        <is>
          <t>Loan Age &gt;= 12 Months</t>
        </is>
      </c>
      <c r="C77" s="4" t="inlineStr">
        <is>
          <t>noteDate / noteFirstPaymentDate (auto) OR fnmaLoanAge</t>
        </is>
      </c>
      <c r="D77" s="4" t="inlineStr">
        <is>
          <t>&gt;= 12 months</t>
        </is>
      </c>
      <c r="E77" s="4" t="inlineStr">
        <is>
          <t>Loan &gt;= 12 months old</t>
        </is>
      </c>
      <c r="F77" s="4" t="inlineStr">
        <is>
          <t>&lt; 12 months</t>
        </is>
      </c>
    </row>
    <row r="78" ht="30" customHeight="1">
      <c r="A78" s="3" t="inlineStr">
        <is>
          <t>Flex Mod (Streamlined)</t>
        </is>
      </c>
      <c r="B78" s="3" t="inlineStr">
        <is>
          <t>DLQ &gt;= 90 Days (3 months)</t>
        </is>
      </c>
      <c r="C78" s="3" t="inlineStr">
        <is>
          <t>delinquencyMonths</t>
        </is>
      </c>
      <c r="D78" s="3" t="inlineStr">
        <is>
          <t>&gt;= 3 months (90+ days)</t>
        </is>
      </c>
      <c r="E78" s="3" t="inlineStr">
        <is>
          <t>&gt;= 90 days DLQ</t>
        </is>
      </c>
      <c r="F78" s="3" t="inlineStr">
        <is>
          <t>&lt; 90 days DLQ -&gt; use Standard Flex Mod with BRP</t>
        </is>
      </c>
    </row>
    <row r="79" ht="30" customHeight="1">
      <c r="A79" s="4" t="inlineStr">
        <is>
          <t>Flex Mod (Streamlined)</t>
        </is>
      </c>
      <c r="B79" s="4" t="inlineStr">
        <is>
          <t>Not Within 36 Months of Maturity</t>
        </is>
      </c>
      <c r="C79" s="4" t="inlineStr">
        <is>
          <t>originalMaturityDate (auto) OR fnmaWithin36MonthsMaturity</t>
        </is>
      </c>
      <c r="D79" s="4" t="inlineStr">
        <is>
          <t>Maturity &gt; 36 months away</t>
        </is>
      </c>
      <c r="E79" s="4" t="inlineStr">
        <is>
          <t>Adequate remaining term</t>
        </is>
      </c>
      <c r="F79" s="4" t="inlineStr">
        <is>
          <t>Within 36mo of maturity</t>
        </is>
      </c>
    </row>
    <row r="80" ht="30" customHeight="1">
      <c r="A80" s="3" t="inlineStr">
        <is>
          <t>Flex Mod (Streamlined)</t>
        </is>
      </c>
      <c r="B80" s="3" t="inlineStr">
        <is>
          <t>Prior Modifications &lt; 3</t>
        </is>
      </c>
      <c r="C80" s="3" t="inlineStr">
        <is>
          <t>fnmaPriorModCount</t>
        </is>
      </c>
      <c r="D80" s="3" t="inlineStr">
        <is>
          <t>&lt; 3</t>
        </is>
      </c>
      <c r="E80" s="3" t="inlineStr">
        <is>
          <t>0-2 prior mods</t>
        </is>
      </c>
      <c r="F80" s="3" t="inlineStr">
        <is>
          <t>&gt;= 3 prior mods</t>
        </is>
      </c>
    </row>
    <row r="81" ht="30" customHeight="1">
      <c r="A81" s="4" t="inlineStr">
        <is>
          <t>Flex Mod (Streamlined)</t>
        </is>
      </c>
      <c r="B81" s="4" t="inlineStr">
        <is>
          <t>No Failed Flex Mod TPP Within 12 Months</t>
        </is>
      </c>
      <c r="C81" s="4" t="inlineStr">
        <is>
          <t>fnmaFailedTPP12Months</t>
        </is>
      </c>
      <c r="D81" s="4">
        <f> FALSE</f>
        <v/>
      </c>
      <c r="E81" s="4" t="inlineStr">
        <is>
          <t>No failed TPP in last 12 months</t>
        </is>
      </c>
      <c r="F81" s="4" t="inlineStr">
        <is>
          <t>Failed TPP within 12 months</t>
        </is>
      </c>
    </row>
    <row r="82" ht="30" customHeight="1">
      <c r="A82" s="3" t="inlineStr">
        <is>
          <t>Flex Mod (Streamlined)</t>
        </is>
      </c>
      <c r="B82" s="3" t="inlineStr">
        <is>
          <t>No 60-Day Re-Default Within 12 Months of Last Mod</t>
        </is>
      </c>
      <c r="C82" s="3" t="inlineStr">
        <is>
          <t>fnmaReDefaulted12Months</t>
        </is>
      </c>
      <c r="D82" s="3">
        <f> FALSE</f>
        <v/>
      </c>
      <c r="E82" s="3" t="inlineStr">
        <is>
          <t>No re-default after last mod</t>
        </is>
      </c>
      <c r="F82" s="3" t="inlineStr">
        <is>
          <t>Re-defaulted within 12 months</t>
        </is>
      </c>
    </row>
    <row r="83" ht="30" customHeight="1">
      <c r="A83" s="4" t="inlineStr">
        <is>
          <t>Flex Mod (Streamlined)</t>
        </is>
      </c>
      <c r="B83" s="4" t="inlineStr">
        <is>
          <t>NO BRP or Income Documentation Required</t>
        </is>
      </c>
      <c r="C83" s="4" t="inlineStr">
        <is>
          <t>N/A</t>
        </is>
      </c>
      <c r="D83" s="4" t="inlineStr">
        <is>
          <t>No documentation required</t>
        </is>
      </c>
      <c r="E83" s="4" t="inlineStr">
        <is>
          <t>No BRP, hardship docs, or income verification needed</t>
        </is>
      </c>
      <c r="F83" s="4" t="inlineStr">
        <is>
          <t>KEY DIFFERENCE from Standard Flex Mod</t>
        </is>
      </c>
    </row>
    <row r="84" ht="30" customHeight="1">
      <c r="A84" s="3" t="inlineStr">
        <is>
          <t>Flex Mod (Streamlined)</t>
        </is>
      </c>
      <c r="B84" s="3" t="inlineStr">
        <is>
          <t>MI/PMI Insurer Approval (if applicable)</t>
        </is>
      </c>
      <c r="C84" s="3" t="inlineStr">
        <is>
          <t>fnmaHasMI -&gt; fnmaMIApprovalConfirmed</t>
        </is>
      </c>
      <c r="D84" s="3">
        <f> TRUE if MI exists</f>
        <v/>
      </c>
      <c r="E84" s="3" t="inlineStr">
        <is>
          <t>MI approval confirmed (LM.R1074)</t>
        </is>
      </c>
      <c r="F84" s="3" t="inlineStr">
        <is>
          <t>MI exists but approval not confirmed</t>
        </is>
      </c>
    </row>
    <row r="85" ht="30" customHeight="1">
      <c r="A85" s="4" t="inlineStr">
        <is>
          <t>Flex Mod (Streamlined)</t>
        </is>
      </c>
      <c r="B85" s="4" t="inlineStr">
        <is>
          <t>All Common Blockers Clear</t>
        </is>
      </c>
      <c r="C85" s="4" t="inlineStr">
        <is>
          <t>All 5 common blocker fields</t>
        </is>
      </c>
      <c r="D85" s="4" t="inlineStr">
        <is>
          <t>All = FALSE</t>
        </is>
      </c>
      <c r="E85" s="4" t="inlineStr">
        <is>
          <t>No active blockers</t>
        </is>
      </c>
      <c r="F85" s="4" t="inlineStr">
        <is>
          <t>Any common blocker</t>
        </is>
      </c>
    </row>
    <row r="86" ht="18" customHeight="1">
      <c r="A86" s="5" t="inlineStr">
        <is>
          <t>FANNIE MAE FLEX MODIFICATION - DISASTER (D2-3.2-06)</t>
        </is>
      </c>
    </row>
    <row r="87" ht="30" customHeight="1">
      <c r="A87" s="3" t="inlineStr">
        <is>
          <t>Flex Mod (Disaster)</t>
        </is>
      </c>
      <c r="B87" s="3" t="inlineStr">
        <is>
          <t>Disaster Hardship</t>
        </is>
      </c>
      <c r="C87" s="3" t="inlineStr">
        <is>
          <t>fnmaDisasterHardship</t>
        </is>
      </c>
      <c r="D87" s="3">
        <f> TRUE</f>
        <v/>
      </c>
      <c r="E87" s="3" t="inlineStr">
        <is>
          <t>Disaster hardship confirmed</t>
        </is>
      </c>
      <c r="F87" s="3" t="inlineStr">
        <is>
          <t>Non-disaster -&gt; use Standard or Streamlined Flex Mod</t>
        </is>
      </c>
    </row>
    <row r="88" ht="30" customHeight="1">
      <c r="A88" s="4" t="inlineStr">
        <is>
          <t>Flex Mod (Disaster)</t>
        </is>
      </c>
      <c r="B88" s="4" t="inlineStr">
        <is>
          <t>FEMA Designation OR Insured Property Loss</t>
        </is>
      </c>
      <c r="C88" s="4" t="inlineStr">
        <is>
          <t>fnmaFEMADesignation OR fnmaInsuredLoss</t>
        </is>
      </c>
      <c r="D88" s="4" t="inlineStr">
        <is>
          <t>At least one = TRUE</t>
        </is>
      </c>
      <c r="E88" s="4" t="inlineStr">
        <is>
          <t>FEMA-designated area OR documented insured loss</t>
        </is>
      </c>
      <c r="F88" s="4" t="inlineStr">
        <is>
          <t>Neither FEMA designation nor insured loss</t>
        </is>
      </c>
    </row>
    <row r="89" ht="30" customHeight="1">
      <c r="A89" s="3" t="inlineStr">
        <is>
          <t>Flex Mod (Disaster)</t>
        </is>
      </c>
      <c r="B89" s="3" t="inlineStr">
        <is>
          <t>Conventional 1st Lien</t>
        </is>
      </c>
      <c r="C89" s="3" t="inlineStr">
        <is>
          <t>lienPosition</t>
        </is>
      </c>
      <c r="D89" s="3">
        <f> First</f>
        <v/>
      </c>
      <c r="E89" s="3" t="inlineStr">
        <is>
          <t>First lien</t>
        </is>
      </c>
      <c r="F89" s="3" t="inlineStr">
        <is>
          <t>Junior lien</t>
        </is>
      </c>
    </row>
    <row r="90" ht="30" customHeight="1">
      <c r="A90" s="4" t="inlineStr">
        <is>
          <t>Flex Mod (Disaster)</t>
        </is>
      </c>
      <c r="B90" s="4" t="inlineStr">
        <is>
          <t>DLQ &lt; 2 Months at Time of Disaster</t>
        </is>
      </c>
      <c r="C90" s="4" t="inlineStr">
        <is>
          <t>fnmaDelinquencyAtDisaster</t>
        </is>
      </c>
      <c r="D90" s="4" t="inlineStr">
        <is>
          <t>&lt; 2 months</t>
        </is>
      </c>
      <c r="E90" s="4" t="inlineStr">
        <is>
          <t>Was current or 1 month DLQ when disaster struck</t>
        </is>
      </c>
      <c r="F90" s="4" t="inlineStr">
        <is>
          <t>&gt;= 2 months DLQ at disaster</t>
        </is>
      </c>
    </row>
    <row r="91" ht="30" customHeight="1">
      <c r="A91" s="3" t="inlineStr">
        <is>
          <t>Flex Mod (Disaster)</t>
        </is>
      </c>
      <c r="B91" s="3" t="inlineStr">
        <is>
          <t>Current DLQ &gt;= 3 Months (90 Days)</t>
        </is>
      </c>
      <c r="C91" s="3" t="inlineStr">
        <is>
          <t>delinquencyMonths</t>
        </is>
      </c>
      <c r="D91" s="3" t="inlineStr">
        <is>
          <t>&gt;= 3 months</t>
        </is>
      </c>
      <c r="E91" s="3" t="inlineStr">
        <is>
          <t>&gt;= 90 days DLQ currently</t>
        </is>
      </c>
      <c r="F91" s="3" t="inlineStr">
        <is>
          <t>&lt; 3 months DLQ -&gt; not yet at disaster mod threshold</t>
        </is>
      </c>
    </row>
    <row r="92" ht="30" customHeight="1">
      <c r="A92" s="4" t="inlineStr">
        <is>
          <t>Flex Mod (Disaster)</t>
        </is>
      </c>
      <c r="B92" s="4" t="inlineStr">
        <is>
          <t>Reduced Eligibility Criteria</t>
        </is>
      </c>
      <c r="C92" s="4" t="inlineStr">
        <is>
          <t>N/A</t>
        </is>
      </c>
      <c r="D92" s="4" t="inlineStr">
        <is>
          <t>Prior mod count, failed TPP, re-default restrictions may not apply</t>
        </is>
      </c>
      <c r="E92" s="4" t="inlineStr">
        <is>
          <t>Relaxed criteria for disaster borrowers</t>
        </is>
      </c>
      <c r="F92" s="4" t="inlineStr">
        <is>
          <t>Note: FNMA Servicing Guide D2-3.2-06 provides reduced criteria for disaster</t>
        </is>
      </c>
    </row>
    <row r="93" ht="30" customHeight="1">
      <c r="A93" s="3" t="inlineStr">
        <is>
          <t>Flex Mod (Disaster)</t>
        </is>
      </c>
      <c r="B93" s="3" t="inlineStr">
        <is>
          <t>All Common Blockers Clear</t>
        </is>
      </c>
      <c r="C93" s="3" t="inlineStr">
        <is>
          <t>All 5 common blocker fields</t>
        </is>
      </c>
      <c r="D93" s="3" t="inlineStr">
        <is>
          <t>All = FALSE</t>
        </is>
      </c>
      <c r="E93" s="3" t="inlineStr">
        <is>
          <t>No active blockers</t>
        </is>
      </c>
      <c r="F93" s="3" t="inlineStr">
        <is>
          <t>Any common blocker</t>
        </is>
      </c>
    </row>
    <row r="94" ht="18" customHeight="1">
      <c r="A94" s="5" t="inlineStr">
        <is>
          <t>DISPOSITION - FNMA SHORT SALE &amp; MORTGAGE RELEASE (DIL)</t>
        </is>
      </c>
    </row>
    <row r="95" ht="30" customHeight="1">
      <c r="A95" s="4" t="inlineStr">
        <is>
          <t>Short Sale</t>
        </is>
      </c>
      <c r="B95" s="4" t="inlineStr">
        <is>
          <t>Borrower Intent = Disposition</t>
        </is>
      </c>
      <c r="C95" s="4" t="inlineStr">
        <is>
          <t>borrowerIntentRetention</t>
        </is>
      </c>
      <c r="D95" s="4">
        <f> FALSE</f>
        <v/>
      </c>
      <c r="E95" s="4" t="inlineStr">
        <is>
          <t>Borrower wants to sell / disposition</t>
        </is>
      </c>
      <c r="F95" s="4" t="inlineStr">
        <is>
          <t>Retention intent -&gt; use home retention options</t>
        </is>
      </c>
    </row>
    <row r="96" ht="30" customHeight="1">
      <c r="A96" s="3" t="inlineStr">
        <is>
          <t>Short Sale</t>
        </is>
      </c>
      <c r="B96" s="3" t="inlineStr">
        <is>
          <t>Eligible Hardship</t>
        </is>
      </c>
      <c r="C96" s="3" t="inlineStr">
        <is>
          <t>hardshipType</t>
        </is>
      </c>
      <c r="D96" s="3" t="inlineStr">
        <is>
          <t>Not = 'None'</t>
        </is>
      </c>
      <c r="E96" s="3" t="inlineStr">
        <is>
          <t>Any qualifying hardship type</t>
        </is>
      </c>
      <c r="F96" s="3" t="inlineStr">
        <is>
          <t>No qualifying hardship</t>
        </is>
      </c>
    </row>
    <row r="97" ht="30" customHeight="1">
      <c r="A97" s="4" t="inlineStr">
        <is>
          <t>Mortgage Release (DIL)</t>
        </is>
      </c>
      <c r="B97" s="4" t="inlineStr">
        <is>
          <t>Borrower Intent = Disposition</t>
        </is>
      </c>
      <c r="C97" s="4" t="inlineStr">
        <is>
          <t>borrowerIntentRetention</t>
        </is>
      </c>
      <c r="D97" s="4">
        <f> FALSE</f>
        <v/>
      </c>
      <c r="E97" s="4" t="inlineStr">
        <is>
          <t>Disposition intent confirmed</t>
        </is>
      </c>
      <c r="F97" s="4" t="inlineStr">
        <is>
          <t>Retention intent</t>
        </is>
      </c>
    </row>
    <row r="98" ht="30" customHeight="1">
      <c r="A98" s="3" t="inlineStr">
        <is>
          <t>Mortgage Release (DIL)</t>
        </is>
      </c>
      <c r="B98" s="3" t="inlineStr">
        <is>
          <t>Eligible Hardship</t>
        </is>
      </c>
      <c r="C98" s="3" t="inlineStr">
        <is>
          <t>hardshipType</t>
        </is>
      </c>
      <c r="D98" s="3" t="inlineStr">
        <is>
          <t>Not = 'None'</t>
        </is>
      </c>
      <c r="E98" s="3" t="inlineStr">
        <is>
          <t>Any qualifying hardship type</t>
        </is>
      </c>
      <c r="F98" s="3" t="inlineStr">
        <is>
          <t>No qualifying hardship</t>
        </is>
      </c>
    </row>
    <row r="99" ht="30" customHeight="1">
      <c r="A99" s="4" t="inlineStr">
        <is>
          <t>Mortgage Release (DIL)</t>
        </is>
      </c>
      <c r="B99" s="4" t="inlineStr">
        <is>
          <t>Meets Mortgage Release Requirements</t>
        </is>
      </c>
      <c r="C99" s="4" t="inlineStr">
        <is>
          <t>meetsDILRequirements</t>
        </is>
      </c>
      <c r="D99" s="4">
        <f> TRUE</f>
        <v/>
      </c>
      <c r="E99" s="4" t="inlineStr">
        <is>
          <t>All DIL requirements satisfied (clear title, etc.)</t>
        </is>
      </c>
      <c r="F99" s="4" t="inlineStr">
        <is>
          <t>Requirements not met</t>
        </is>
      </c>
    </row>
  </sheetData>
  <mergeCells count="12">
    <mergeCell ref="A16:F16"/>
    <mergeCell ref="A46:F46"/>
    <mergeCell ref="A1:F1"/>
    <mergeCell ref="A94:F94"/>
    <mergeCell ref="A9:F9"/>
    <mergeCell ref="A58:F58"/>
    <mergeCell ref="A74:F74"/>
    <mergeCell ref="A34:F34"/>
    <mergeCell ref="A12:F12"/>
    <mergeCell ref="A3:F3"/>
    <mergeCell ref="A20:F20"/>
    <mergeCell ref="A86:F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0" customWidth="1" min="3" max="3"/>
    <col width="20" customWidth="1" min="4" max="4"/>
    <col width="26" customWidth="1" min="5" max="5"/>
    <col width="26" customWidth="1" min="6" max="6"/>
  </cols>
  <sheetData>
    <row r="1" ht="22" customHeight="1">
      <c r="A1" s="1" t="inlineStr">
        <is>
          <t>Fannie Mae - Key Calculations, Formulas &amp; Thresholds</t>
        </is>
      </c>
    </row>
    <row r="2" ht="20" customHeight="1">
      <c r="A2" s="2" t="inlineStr">
        <is>
          <t>Calculation</t>
        </is>
      </c>
      <c r="B2" s="2" t="inlineStr">
        <is>
          <t>Formula</t>
        </is>
      </c>
      <c r="C2" s="2" t="inlineStr">
        <is>
          <t>Example</t>
        </is>
      </c>
      <c r="D2" s="2" t="inlineStr">
        <is>
          <t>Source</t>
        </is>
      </c>
      <c r="E2" s="2" t="inlineStr">
        <is>
          <t>Pass Condition</t>
        </is>
      </c>
      <c r="F2" s="2" t="inlineStr">
        <is>
          <t>Notes</t>
        </is>
      </c>
    </row>
    <row r="3" ht="36" customHeight="1">
      <c r="A3" s="3" t="inlineStr">
        <is>
          <t>Loan Age (auto)</t>
        </is>
      </c>
      <c r="B3" s="3" t="inlineStr">
        <is>
          <t>monthsBetween(noteDate OR noteFirstPaymentDate, approvalEffectiveDate OR today)</t>
        </is>
      </c>
      <c r="C3" s="3" t="inlineStr">
        <is>
          <t>Note: Jan 2024; Today: Mar 2026 = 26 months</t>
        </is>
      </c>
      <c r="D3" s="3" t="inlineStr">
        <is>
          <t>D2-3.2-04, D2-3.2-06</t>
        </is>
      </c>
      <c r="E3" s="3" t="inlineStr">
        <is>
          <t>&gt;= 12 months for deferral and flex mods</t>
        </is>
      </c>
      <c r="F3" s="3" t="inlineStr">
        <is>
          <t>Falls back to manual fnmaLoanAge if dates not entered</t>
        </is>
      </c>
    </row>
    <row r="4" ht="36" customHeight="1">
      <c r="A4" s="4" t="inlineStr">
        <is>
          <t>Months to Maturity (auto)</t>
        </is>
      </c>
      <c r="B4" s="4" t="inlineStr">
        <is>
          <t>monthsBetween(today OR approvalEffectiveDate, originalMaturityDate)</t>
        </is>
      </c>
      <c r="C4" s="4" t="inlineStr">
        <is>
          <t>Maturity: Jun 2053; Today: Mar 2026 = 327 months</t>
        </is>
      </c>
      <c r="D4" s="4" t="inlineStr">
        <is>
          <t>D2-3.2-04, D2-3.2-06</t>
        </is>
      </c>
      <c r="E4" s="4" t="inlineStr">
        <is>
          <t>&gt; 36 months (must NOT be within 36 months)</t>
        </is>
      </c>
      <c r="F4" s="4" t="inlineStr">
        <is>
          <t>Can also be computed from noteFirstPaymentDate + noteTerm (months)</t>
        </is>
      </c>
    </row>
    <row r="5" ht="36" customHeight="1">
      <c r="A5" s="3" t="inlineStr">
        <is>
          <t>Cumulative Deferral Cap (Standard)</t>
        </is>
      </c>
      <c r="B5" s="3" t="inlineStr">
        <is>
          <t>fnmaCumulativeDeferredMonths + delinquencyMonths (current)</t>
        </is>
      </c>
      <c r="C5" s="3" t="inlineStr">
        <is>
          <t>4 prior + 3 current = 7 total &lt;= 12 -&gt; PASS</t>
        </is>
      </c>
      <c r="D5" s="3" t="inlineStr">
        <is>
          <t>D2-3.2-04</t>
        </is>
      </c>
      <c r="E5" s="3" t="inlineStr">
        <is>
          <t>&lt;= 12 months total (lifetime aggregate)</t>
        </is>
      </c>
      <c r="F5" s="3" t="inlineStr">
        <is>
          <t>Includes ALL prior deferrals plus current DLQ being deferred</t>
        </is>
      </c>
    </row>
    <row r="6" ht="36" customHeight="1">
      <c r="A6" s="4" t="inlineStr">
        <is>
          <t>Cumulative Deferral Cap (Streamlined)</t>
        </is>
      </c>
      <c r="B6" s="4" t="inlineStr">
        <is>
          <t>fnmaCumulativeDeferredMonths only (prior)</t>
        </is>
      </c>
      <c r="C6" s="4" t="inlineStr">
        <is>
          <t>Prior: 10 months &lt; 12 -&gt; PASS; 12 months -&gt; FAIL</t>
        </is>
      </c>
      <c r="D6" s="4" t="inlineStr">
        <is>
          <t>D2-3.2-04</t>
        </is>
      </c>
      <c r="E6" s="4" t="inlineStr">
        <is>
          <t>&lt; 12 months (strictly less than, prior only)</t>
        </is>
      </c>
      <c r="F6" s="4" t="inlineStr">
        <is>
          <t>STRICTER than standard deferral - excludes current DLQ from calculation</t>
        </is>
      </c>
    </row>
    <row r="7" ht="36" customHeight="1">
      <c r="A7" s="3" t="inlineStr">
        <is>
          <t>MTMLTV (Mark-to-Market LTV)</t>
        </is>
      </c>
      <c r="B7" s="3" t="inlineStr">
        <is>
          <t>(UPB + arrearagesToCapitalize + legalFees + fnmaPriorDeferredUPB) / fnmaPropertyValue * 100</t>
        </is>
      </c>
      <c r="C7" s="3" t="inlineStr">
        <is>
          <t>($220k + $9k + $1k + $5k) / $250k * 100 = 94%</t>
        </is>
      </c>
      <c r="D7" s="3" t="inlineStr">
        <is>
          <t>LL-2024-02</t>
        </is>
      </c>
      <c r="E7" s="3" t="inlineStr">
        <is>
          <t>&gt;= 50%: rate reduction enabled; &gt; 50%: principal forbearance enabled</t>
        </is>
      </c>
      <c r="F7" s="3" t="inlineStr">
        <is>
          <t>Advisory only - does not block eligibility; enter property value to auto-compute</t>
        </is>
      </c>
    </row>
    <row r="8" ht="36" customHeight="1">
      <c r="A8" s="4" t="inlineStr">
        <is>
          <t>Housing Expense Ratio (Imminent Default Rule 2)</t>
        </is>
      </c>
      <c r="B8" s="4" t="inlineStr">
        <is>
          <t>currentPITI / grossMonthlyIncome * 100</t>
        </is>
      </c>
      <c r="C8" s="4" t="inlineStr">
        <is>
          <t>$1,800 / $3,000 * 100 = 60% &gt; 55% -&gt; Rule 2 PASSES</t>
        </is>
      </c>
      <c r="D8" s="4" t="inlineStr">
        <is>
          <t>FNMA Imminent Default</t>
        </is>
      </c>
      <c r="E8" s="4" t="inlineStr">
        <is>
          <t>&gt; 55% satisfies Imminent Default Rule 2</t>
        </is>
      </c>
      <c r="F8" s="4" t="inlineStr">
        <is>
          <t>One of three Rule 2 triggers; auto-computed if both fields entered</t>
        </is>
      </c>
    </row>
    <row r="9" ht="36" customHeight="1">
      <c r="A9" s="3" t="inlineStr">
        <is>
          <t>Cash Reserves &lt; 3 Months PITI (Imminent Default Rule 1)</t>
        </is>
      </c>
      <c r="B9" s="3" t="inlineStr">
        <is>
          <t>cashReservesAmount &lt; currentPITI * 3</t>
        </is>
      </c>
      <c r="C9" s="3" t="inlineStr">
        <is>
          <t>$4,000 &lt; $1,800 * 3 = $5,400 -&gt; PASS (&lt; 3mo PITI)</t>
        </is>
      </c>
      <c r="D9" s="3" t="inlineStr">
        <is>
          <t>FNMA Imminent Default</t>
        </is>
      </c>
      <c r="E9" s="3" t="inlineStr">
        <is>
          <t>Cash &lt; 3x monthly PITI confirms liquidity constraint for Rule 1</t>
        </is>
      </c>
      <c r="F9" s="3" t="inlineStr">
        <is>
          <t>Auto-computed if cashReservesAmount and currentPITI both entered</t>
        </is>
      </c>
    </row>
    <row r="10" ht="36" customHeight="1">
      <c r="A10" s="4" t="inlineStr">
        <is>
          <t>Imminent Default - Full Logic</t>
        </is>
      </c>
      <c r="B10" s="4" t="inlineStr">
        <is>
          <t>Rule 1 AND Rule 2 must both pass</t>
        </is>
      </c>
      <c r="C10" s="4" t="inlineStr">
        <is>
          <t>Rule 1: primary res + LT hardship + cash &lt; 3mo PITI = TRUE; Rule 2: FICO=600 &lt;= 620 = TRUE -&gt; ID = TRUE</t>
        </is>
      </c>
      <c r="D10" s="4" t="inlineStr">
        <is>
          <t>FNMA Imminent Default Framework</t>
        </is>
      </c>
      <c r="E10" s="4" t="inlineStr">
        <is>
          <t>Both Rule 1 AND Rule 2 must be true</t>
        </is>
      </c>
      <c r="F10" s="4" t="inlineStr">
        <is>
          <t>Enables &lt; 60d DLQ Flex Mod and Payment Deferral eligibility via imminent default path</t>
        </is>
      </c>
    </row>
    <row r="11" ht="36" customHeight="1">
      <c r="A11" s="3" t="inlineStr">
        <is>
          <t>Imminent Default Rule 1</t>
        </is>
      </c>
      <c r="B11" s="3" t="inlineStr">
        <is>
          <t>fnmaPropertyType = Principal Residence AND fnmaLongTermHardship AND (cashReserves &lt; PITI*3)</t>
        </is>
      </c>
      <c r="C11" s="3" t="inlineStr">
        <is>
          <t>Primary res = TRUE + LT hardship = TRUE + $4k &lt; $5.4k = TRUE -&gt; Rule 1 PASS</t>
        </is>
      </c>
      <c r="D11" s="3" t="inlineStr">
        <is>
          <t>FNMA Imminent Default</t>
        </is>
      </c>
      <c r="E11" s="3" t="inlineStr">
        <is>
          <t>All three conditions TRUE</t>
        </is>
      </c>
      <c r="F11" s="3" t="inlineStr">
        <is>
          <t>All three must be present simultaneously</t>
        </is>
      </c>
    </row>
    <row r="12" ht="36" customHeight="1">
      <c r="A12" s="4" t="inlineStr">
        <is>
          <t>Imminent Default Rule 2</t>
        </is>
      </c>
      <c r="B12" s="4" t="inlineStr">
        <is>
          <t>fnmaFICO &lt;= 620 OR fnmaPrior30DLQ12Mo OR housingRatio &gt; 55%</t>
        </is>
      </c>
      <c r="C12" s="4" t="inlineStr">
        <is>
          <t>FICO=680, no prior DLQ, ratio=48% -&gt; all fail -&gt; Rule 2 FAIL -&gt; no ID</t>
        </is>
      </c>
      <c r="D12" s="4" t="inlineStr">
        <is>
          <t>FNMA Imminent Default</t>
        </is>
      </c>
      <c r="E12" s="4" t="inlineStr">
        <is>
          <t>At least ONE condition TRUE</t>
        </is>
      </c>
      <c r="F12" s="4" t="inlineStr">
        <is>
          <t>Any single trigger satisfies Rule 2</t>
        </is>
      </c>
    </row>
    <row r="13" ht="36" customHeight="1">
      <c r="A13" s="3" t="inlineStr">
        <is>
          <t>Prior Modification Count</t>
        </is>
      </c>
      <c r="B13" s="3" t="inlineStr">
        <is>
          <t>parseInt(fnmaPriorModCount)</t>
        </is>
      </c>
      <c r="C13" s="3" t="inlineStr">
        <is>
          <t>fnmaPriorModCount = '2' -&gt; 2 &lt; 3 -&gt; PASS</t>
        </is>
      </c>
      <c r="D13" s="3" t="inlineStr">
        <is>
          <t>D2-3.2-06</t>
        </is>
      </c>
      <c r="E13" s="3" t="inlineStr">
        <is>
          <t>&lt; 3 (max 3 lifetime for Flex Mods)</t>
        </is>
      </c>
      <c r="F13" s="3" t="inlineStr">
        <is>
          <t>Payment deferrals are NOT counted as modifications</t>
        </is>
      </c>
    </row>
    <row r="14" ht="36" customHeight="1">
      <c r="A14" s="4" t="inlineStr">
        <is>
          <t>Post-Cap UPB (for MTMLTV)</t>
        </is>
      </c>
      <c r="B14" s="4" t="inlineStr">
        <is>
          <t>upb + arrearagesToCapitalize + legalFees + fnmaPriorDeferredUPB</t>
        </is>
      </c>
      <c r="C14" s="4" t="inlineStr">
        <is>
          <t>$200k + $9k + $1k + $5k = $215k</t>
        </is>
      </c>
      <c r="D14" s="4" t="inlineStr">
        <is>
          <t>LL-2024-02</t>
        </is>
      </c>
      <c r="E14" s="4" t="inlineStr">
        <is>
          <t>Used in MTMLTV calculation</t>
        </is>
      </c>
      <c r="F14" s="4" t="inlineStr">
        <is>
          <t>Represents total balance after capitalization of all deferred/arrear amounts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32" customWidth="1" min="4" max="4"/>
    <col width="32" customWidth="1" min="5" max="5"/>
  </cols>
  <sheetData>
    <row r="1" ht="22" customHeight="1">
      <c r="A1" s="1" t="inlineStr">
        <is>
          <t>Fannie Mae Loss Mitigation Waterfall - Evaluation Order (FNMA Servicing Guide)</t>
        </is>
      </c>
    </row>
    <row r="2" ht="20" customHeight="1">
      <c r="A2" s="2" t="inlineStr">
        <is>
          <t>#</t>
        </is>
      </c>
      <c r="B2" s="2" t="inlineStr">
        <is>
          <t>Option</t>
        </is>
      </c>
      <c r="C2" s="2" t="inlineStr">
        <is>
          <t>Trigger Condition</t>
        </is>
      </c>
      <c r="D2" s="2" t="inlineStr">
        <is>
          <t>Proceed If (PASS)</t>
        </is>
      </c>
      <c r="E2" s="2" t="inlineStr">
        <is>
          <t>Skip to Next If (FAIL)</t>
        </is>
      </c>
    </row>
    <row r="3" ht="52" customHeight="1">
      <c r="A3" s="6" t="inlineStr">
        <is>
          <t>1</t>
        </is>
      </c>
      <c r="B3" s="7" t="inlineStr">
        <is>
          <t>FNMA Reinstatement</t>
        </is>
      </c>
      <c r="C3" s="7" t="inlineStr">
        <is>
          <t>Any arrears or DLQ &gt; 0; has liquid assets</t>
        </is>
      </c>
      <c r="D3" s="7" t="inlineStr">
        <is>
          <t>arrears &gt; 0 OR DLQ &gt; 0; cash reserves &gt; 0 (if entered)</t>
        </is>
      </c>
      <c r="E3" s="7" t="inlineStr">
        <is>
          <t>No liquid assets -&gt; proceed to Forbearance or Repayment Plan</t>
        </is>
      </c>
    </row>
    <row r="4" ht="52" customHeight="1">
      <c r="A4" s="8" t="inlineStr">
        <is>
          <t>2</t>
        </is>
      </c>
      <c r="B4" s="9" t="inlineStr">
        <is>
          <t>FNMA Forbearance Plan</t>
        </is>
      </c>
      <c r="C4" s="9" t="inlineStr">
        <is>
          <t>Any qualifying hardship; principal residence (or disaster for other property types)</t>
        </is>
      </c>
      <c r="D4" s="9" t="inlineStr">
        <is>
          <t>Hardship type not 'None'; property not condemned/abandoned; principal residence OR disaster hardship (2nd/investment OK for disaster)</t>
        </is>
      </c>
      <c r="E4" s="9" t="inlineStr">
        <is>
          <t>No qualifying hardship; condemned/abandoned property</t>
        </is>
      </c>
    </row>
    <row r="5" ht="52" customHeight="1">
      <c r="A5" s="10" t="inlineStr">
        <is>
          <t>3</t>
        </is>
      </c>
      <c r="B5" s="11" t="inlineStr">
        <is>
          <t>FNMA Repayment Plan</t>
        </is>
      </c>
      <c r="C5" s="11" t="inlineStr">
        <is>
          <t>Non-disaster; hardship resolved; property OK</t>
        </is>
      </c>
      <c r="D5" s="11" t="inlineStr">
        <is>
          <t>Non-disaster; hardship resolved; property not condemned/abandoned</t>
        </is>
      </c>
      <c r="E5" s="11" t="inlineStr">
        <is>
          <t>Disaster; unresolved hardship; condemned/abandoned</t>
        </is>
      </c>
    </row>
    <row r="6" ht="52" customHeight="1">
      <c r="A6" s="6" t="inlineStr">
        <is>
          <t>4</t>
        </is>
      </c>
      <c r="B6" s="7" t="inlineStr">
        <is>
          <t>FNMA Payment Deferral</t>
        </is>
      </c>
      <c r="C6" s="7" t="inlineStr">
        <is>
          <t>Non-disaster; DLQ 2-6mo; can resume; cannot reinstate; cum. cap OK; QRPC</t>
        </is>
      </c>
      <c r="D6" s="7" t="inlineStr">
        <is>
          <t>Non-disaster; 1st lien; loan &gt;= 12mo; DLQ 2-6mo; hardship resolved OR ID; can resume; cannot reinstate; cum. deferred+DLQ &lt;= 12mo; last deferral &gt;= 12mo ago; maturity &gt; 36mo; no failed TPP; QRPC; no blockers</t>
        </is>
      </c>
      <c r="E6" s="7" t="inlineStr">
        <is>
          <t>DLQ out of range; cannot resume; exceeds lifetime cap; QRPC not achieved; active blockers -&gt; Flex Mod</t>
        </is>
      </c>
    </row>
    <row r="7" ht="52" customHeight="1">
      <c r="A7" s="12" t="inlineStr">
        <is>
          <t>4b</t>
        </is>
      </c>
      <c r="B7" s="13" t="inlineStr">
        <is>
          <t>FNMA Streamlined Payment Deferral</t>
        </is>
      </c>
      <c r="C7" s="13" t="inlineStr">
        <is>
          <t>Non-disaster; DLQ 2-6mo; FNMA solicitation campaign active; NO docs needed</t>
        </is>
      </c>
      <c r="D7" s="13" t="inlineStr">
        <is>
          <t>Same DLQ range; solicitation campaign (Campaign MODNRC) active; cum. deferred &lt; 12mo (strict); no failed TPP; no blockers. No QRPC, BRP, or hardship resolution required.</t>
        </is>
      </c>
      <c r="E7" s="13" t="inlineStr">
        <is>
          <t>No active campaign; DLQ out of range; cum. cap exceeded; active blockers</t>
        </is>
      </c>
    </row>
    <row r="8" ht="52" customHeight="1">
      <c r="A8" s="14" t="inlineStr">
        <is>
          <t>5</t>
        </is>
      </c>
      <c r="B8" s="15" t="inlineStr">
        <is>
          <t>FNMA Disaster Payment Deferral</t>
        </is>
      </c>
      <c r="C8" s="15" t="inlineStr">
        <is>
          <t>Disaster hardship; FEMA/insured loss; DLQ &lt; 2mo at disaster; DLQ 1-12mo now</t>
        </is>
      </c>
      <c r="D8" s="15" t="inlineStr">
        <is>
          <t>Disaster; FEMA/insured loss; 1st lien; DLQ &lt; 2mo at disaster; current DLQ 1-12mo; hardship resolved; can resume; cannot reinstate; no prior same-disaster deferral; maturity &gt; 36mo; no blockers</t>
        </is>
      </c>
      <c r="E8" s="15" t="inlineStr">
        <is>
          <t>Non-disaster; DLQ &gt;= 2mo at disaster; hardship not resolved; prior same-disaster deferral</t>
        </is>
      </c>
    </row>
    <row r="9" ht="52" customHeight="1">
      <c r="A9" s="8" t="inlineStr">
        <is>
          <t>6</t>
        </is>
      </c>
      <c r="B9" s="9" t="inlineStr">
        <is>
          <t>Fannie Mae Flex Modification (Standard)</t>
        </is>
      </c>
      <c r="C9" s="9" t="inlineStr">
        <is>
          <t>Non-disaster; DLQ &gt;= 60d OR imminent default; income docs if DLQ &lt; 90d</t>
        </is>
      </c>
      <c r="D9" s="9" t="inlineStr">
        <is>
          <t>Non-disaster; 1st lien; loan &gt;= 12mo; DLQ &gt;= 60d (2mo) OR imminent default; &lt; 3 prior mods; no failed TPP 12mo; no re-default 12mo; not modified 12mo; QRPC; BRP/income docs if DLQ &lt; 90d; MI approval if applicable; no blockers</t>
        </is>
      </c>
      <c r="E9" s="9" t="inlineStr">
        <is>
          <t>DLQ &lt; 60d with no ID; 3+ prior mods; failed TPP; re-defaulted; modified within 12mo -&gt; use Streamlined Flex Mod</t>
        </is>
      </c>
    </row>
    <row r="10" ht="52" customHeight="1">
      <c r="A10" s="6" t="inlineStr">
        <is>
          <t>6b</t>
        </is>
      </c>
      <c r="B10" s="7" t="inlineStr">
        <is>
          <t>Fannie Mae Flex Modification (Streamlined)</t>
        </is>
      </c>
      <c r="C10" s="7" t="inlineStr">
        <is>
          <t>Non-disaster; DLQ &gt;= 90d; NO BRP required</t>
        </is>
      </c>
      <c r="D10" s="7" t="inlineStr">
        <is>
          <t>Non-disaster; 1st lien; loan &gt;= 12mo; DLQ &gt;= 3mo (90d); maturity &gt; 36mo; &lt; 3 prior mods; no failed TPP 12mo; no re-default 12mo; no blockers. No BRP, hardship docs, income verification required.</t>
        </is>
      </c>
      <c r="E10" s="7" t="inlineStr">
        <is>
          <t>DLQ &lt; 90d; 3+ prior mods; failed TPP; re-defaulted; within 36mo maturity</t>
        </is>
      </c>
    </row>
    <row r="11" ht="52" customHeight="1">
      <c r="A11" s="14" t="inlineStr">
        <is>
          <t>7</t>
        </is>
      </c>
      <c r="B11" s="15" t="inlineStr">
        <is>
          <t>Fannie Mae Flex Modification (Disaster)</t>
        </is>
      </c>
      <c r="C11" s="15" t="inlineStr">
        <is>
          <t>Disaster hardship; FEMA/insured loss; DLQ &lt; 2mo at disaster; DLQ &gt;= 3mo now</t>
        </is>
      </c>
      <c r="D11" s="15" t="inlineStr">
        <is>
          <t>Disaster; FEMA/insured; 1st lien; DLQ &lt; 2mo at disaster; current DLQ &gt;= 3mo (90d); no blockers. Prior mod count, failed TPP, re-default restrictions may not apply.</t>
        </is>
      </c>
      <c r="E11" s="15" t="inlineStr">
        <is>
          <t>Non-disaster; DLQ &gt;= 2mo at disaster; current DLQ &lt; 3mo</t>
        </is>
      </c>
    </row>
    <row r="12" ht="52" customHeight="1">
      <c r="A12" s="16" t="inlineStr">
        <is>
          <t>8</t>
        </is>
      </c>
      <c r="B12" s="17" t="inlineStr">
        <is>
          <t>Fannie Mae Short Sale</t>
        </is>
      </c>
      <c r="C12" s="17" t="inlineStr">
        <is>
          <t>Long-term/permanent hardship; disposition intent</t>
        </is>
      </c>
      <c r="D12" s="17" t="inlineStr">
        <is>
          <t>Borrower intent = disposition; any qualifying hardship</t>
        </is>
      </c>
      <c r="E12" s="17" t="inlineStr">
        <is>
          <t>Retention intent; no hardship</t>
        </is>
      </c>
    </row>
    <row r="13" ht="52" customHeight="1">
      <c r="A13" s="18" t="inlineStr">
        <is>
          <t>9</t>
        </is>
      </c>
      <c r="B13" s="19" t="inlineStr">
        <is>
          <t>Fannie Mae Mortgage Release (DIL)</t>
        </is>
      </c>
      <c r="C13" s="19" t="inlineStr">
        <is>
          <t>Long-term/permanent hardship; disposition intent; short sale failed or ineligible; meets DIL requirements</t>
        </is>
      </c>
      <c r="D13" s="19" t="inlineStr">
        <is>
          <t>Borrower intent = disposition; any qualifying hardship; meetsDILRequirements = TRUE</t>
        </is>
      </c>
      <c r="E13" s="19" t="inlineStr">
        <is>
          <t>Retention intent; DIL requirements not met</t>
        </is>
      </c>
    </row>
    <row r="15" ht="18" customHeight="1">
      <c r="A15" s="5" t="inlineStr">
        <is>
          <t>KEY FNMA THRESHOLDS &amp; CONSTANTS</t>
        </is>
      </c>
    </row>
    <row r="16" ht="20" customHeight="1">
      <c r="A16" s="2" t="inlineStr">
        <is>
          <t>Threshold</t>
        </is>
      </c>
      <c r="B16" s="2" t="inlineStr">
        <is>
          <t>Value</t>
        </is>
      </c>
      <c r="C16" s="2" t="inlineStr">
        <is>
          <t>Applied To</t>
        </is>
      </c>
      <c r="D16" s="2" t="inlineStr">
        <is>
          <t>Regulatory Basis</t>
        </is>
      </c>
      <c r="E16" s="2" t="inlineStr">
        <is>
          <t>Notes</t>
        </is>
      </c>
    </row>
    <row r="17" ht="28" customHeight="1">
      <c r="A17" s="3" t="inlineStr">
        <is>
          <t>Loan Age Minimum</t>
        </is>
      </c>
      <c r="B17" s="3" t="inlineStr">
        <is>
          <t>&gt;= 12 months</t>
        </is>
      </c>
      <c r="C17" s="3" t="inlineStr">
        <is>
          <t>Payment Deferral, Flex Modifications</t>
        </is>
      </c>
      <c r="D17" s="3" t="inlineStr">
        <is>
          <t>D2-3.2-04, D2-3.2-06</t>
        </is>
      </c>
      <c r="E17" s="3" t="inlineStr">
        <is>
          <t>Auto-computed from noteDate or noteFirstPaymentDate</t>
        </is>
      </c>
    </row>
    <row r="18" ht="28" customHeight="1">
      <c r="A18" s="4" t="inlineStr">
        <is>
          <t>DLQ Range - Payment Deferral</t>
        </is>
      </c>
      <c r="B18" s="4" t="inlineStr">
        <is>
          <t>2-6 months (inclusive)</t>
        </is>
      </c>
      <c r="C18" s="4" t="inlineStr">
        <is>
          <t>Payment Deferral, Streamlined Deferral</t>
        </is>
      </c>
      <c r="D18" s="4" t="inlineStr">
        <is>
          <t>D2-3.2-04</t>
        </is>
      </c>
      <c r="E18" s="4" t="inlineStr">
        <is>
          <t>Must be in this exact window; &lt; 2 or &gt; 6 months ineligible</t>
        </is>
      </c>
    </row>
    <row r="19" ht="28" customHeight="1">
      <c r="A19" s="3" t="inlineStr">
        <is>
          <t>DLQ Range - Disaster Deferral</t>
        </is>
      </c>
      <c r="B19" s="3" t="inlineStr">
        <is>
          <t>1-12 months current</t>
        </is>
      </c>
      <c r="C19" s="3" t="inlineStr">
        <is>
          <t>Disaster Payment Deferral</t>
        </is>
      </c>
      <c r="D19" s="3" t="inlineStr">
        <is>
          <t>D2-3.2-05</t>
        </is>
      </c>
      <c r="E19" s="3" t="inlineStr">
        <is>
          <t>Wider window; DLQ at disaster must be &lt; 2 months</t>
        </is>
      </c>
    </row>
    <row r="20" ht="28" customHeight="1">
      <c r="A20" s="4" t="inlineStr">
        <is>
          <t>DLQ at Disaster</t>
        </is>
      </c>
      <c r="B20" s="4" t="inlineStr">
        <is>
          <t>&lt; 2 months (0 or 1 month)</t>
        </is>
      </c>
      <c r="C20" s="4" t="inlineStr">
        <is>
          <t>Disaster Deferral, Disaster Flex Mod</t>
        </is>
      </c>
      <c r="D20" s="4" t="inlineStr">
        <is>
          <t>D2-3.2-05, D2-3.2-06</t>
        </is>
      </c>
      <c r="E20" s="4" t="inlineStr">
        <is>
          <t>Must have been current or 1 month DLQ when disaster was declared</t>
        </is>
      </c>
    </row>
    <row r="21" ht="28" customHeight="1">
      <c r="A21" s="3" t="inlineStr">
        <is>
          <t>DLQ - Flex Mod Standard</t>
        </is>
      </c>
      <c r="B21" s="3" t="inlineStr">
        <is>
          <t>&gt;= 2 months (60+ days) OR imminent default</t>
        </is>
      </c>
      <c r="C21" s="3" t="inlineStr">
        <is>
          <t>Flex Modification Standard</t>
        </is>
      </c>
      <c r="D21" s="3" t="inlineStr">
        <is>
          <t>D2-3.2-06</t>
        </is>
      </c>
      <c r="E21" s="3" t="inlineStr">
        <is>
          <t>Imminent default path allows &lt; 60d DLQ</t>
        </is>
      </c>
    </row>
    <row r="22" ht="28" customHeight="1">
      <c r="A22" s="4" t="inlineStr">
        <is>
          <t>DLQ - Flex Mod Streamlined</t>
        </is>
      </c>
      <c r="B22" s="4" t="inlineStr">
        <is>
          <t>&gt;= 3 months (90+ days)</t>
        </is>
      </c>
      <c r="C22" s="4" t="inlineStr">
        <is>
          <t>Flex Modification Streamlined</t>
        </is>
      </c>
      <c r="D22" s="4" t="inlineStr">
        <is>
          <t>D2-3.2-06</t>
        </is>
      </c>
      <c r="E22" s="4" t="inlineStr">
        <is>
          <t>No BRP required; stricter DLQ threshold than Standard</t>
        </is>
      </c>
    </row>
    <row r="23" ht="28" customHeight="1">
      <c r="A23" s="3" t="inlineStr">
        <is>
          <t>DLQ - Disaster Flex Mod</t>
        </is>
      </c>
      <c r="B23" s="3" t="inlineStr">
        <is>
          <t>&gt;= 3 months (90+ days) current</t>
        </is>
      </c>
      <c r="C23" s="3" t="inlineStr">
        <is>
          <t>Flex Modification Disaster</t>
        </is>
      </c>
      <c r="D23" s="3" t="inlineStr">
        <is>
          <t>D2-3.2-06</t>
        </is>
      </c>
      <c r="E23" s="3" t="inlineStr">
        <is>
          <t>Must be current or &lt; 2mo DLQ at disaster AND now &gt;= 90d DLQ</t>
        </is>
      </c>
    </row>
    <row r="24" ht="28" customHeight="1">
      <c r="A24" s="4" t="inlineStr">
        <is>
          <t>Cumulative Deferral Cap (Standard)</t>
        </is>
      </c>
      <c r="B24" s="4" t="inlineStr">
        <is>
          <t>&lt;= 12 months (prior + current)</t>
        </is>
      </c>
      <c r="C24" s="4" t="inlineStr">
        <is>
          <t>Payment Deferral</t>
        </is>
      </c>
      <c r="D24" s="4" t="inlineStr">
        <is>
          <t>D2-3.2-04</t>
        </is>
      </c>
      <c r="E24" s="4" t="inlineStr">
        <is>
          <t>Lifetime aggregate includes current DLQ being deferred</t>
        </is>
      </c>
    </row>
    <row r="25" ht="28" customHeight="1">
      <c r="A25" s="3" t="inlineStr">
        <is>
          <t>Cumulative Deferral Cap (Streamlined)</t>
        </is>
      </c>
      <c r="B25" s="3" t="inlineStr">
        <is>
          <t>&lt; 12 months (prior only, strict)</t>
        </is>
      </c>
      <c r="C25" s="3" t="inlineStr">
        <is>
          <t>Streamlined Payment Deferral</t>
        </is>
      </c>
      <c r="D25" s="3" t="inlineStr">
        <is>
          <t>D2-3.2-04</t>
        </is>
      </c>
      <c r="E25" s="3" t="inlineStr">
        <is>
          <t>Stricter: prior deferrals only, strictly less than 12</t>
        </is>
      </c>
    </row>
    <row r="26" ht="28" customHeight="1">
      <c r="A26" s="4" t="inlineStr">
        <is>
          <t>Prior Deferral Gap</t>
        </is>
      </c>
      <c r="B26" s="4" t="inlineStr">
        <is>
          <t>0 (never) OR &gt;= 12 months ago</t>
        </is>
      </c>
      <c r="C26" s="4" t="inlineStr">
        <is>
          <t>Payment Deferral, Streamlined Deferral</t>
        </is>
      </c>
      <c r="D26" s="4" t="inlineStr">
        <is>
          <t>D2-3.2-04</t>
        </is>
      </c>
      <c r="E26" s="4" t="inlineStr">
        <is>
          <t>Cannot defer again within 12 months of a prior deferral</t>
        </is>
      </c>
    </row>
    <row r="27" ht="28" customHeight="1">
      <c r="A27" s="3" t="inlineStr">
        <is>
          <t>Maturity Proximity</t>
        </is>
      </c>
      <c r="B27" s="3" t="inlineStr">
        <is>
          <t>&gt; 36 months remaining</t>
        </is>
      </c>
      <c r="C27" s="3" t="inlineStr">
        <is>
          <t>Payment Deferral, Flex Mods</t>
        </is>
      </c>
      <c r="D27" s="3" t="inlineStr">
        <is>
          <t>D2-3.2-04, D2-3.2-06</t>
        </is>
      </c>
      <c r="E27" s="3" t="inlineStr">
        <is>
          <t>Cannot be within 36 months of original maturity date</t>
        </is>
      </c>
    </row>
    <row r="28" ht="28" customHeight="1">
      <c r="A28" s="4" t="inlineStr">
        <is>
          <t>Prior Modification Cap</t>
        </is>
      </c>
      <c r="B28" s="4" t="inlineStr">
        <is>
          <t>&lt; 3 (max 3 lifetime)</t>
        </is>
      </c>
      <c r="C28" s="4" t="inlineStr">
        <is>
          <t>Flex Modifications</t>
        </is>
      </c>
      <c r="D28" s="4" t="inlineStr">
        <is>
          <t>D2-3.2-06</t>
        </is>
      </c>
      <c r="E28" s="4" t="inlineStr">
        <is>
          <t>Payment deferrals do NOT count toward this limit</t>
        </is>
      </c>
    </row>
    <row r="29" ht="28" customHeight="1">
      <c r="A29" s="3" t="inlineStr">
        <is>
          <t>FICO Threshold (ID Rule 2)</t>
        </is>
      </c>
      <c r="B29" s="3" t="inlineStr">
        <is>
          <t>&lt;= 620</t>
        </is>
      </c>
      <c r="C29" s="3" t="inlineStr">
        <is>
          <t>Imminent Default Rule 2</t>
        </is>
      </c>
      <c r="D29" s="3" t="inlineStr">
        <is>
          <t>FNMA Imminent Default</t>
        </is>
      </c>
      <c r="E29" s="3" t="inlineStr">
        <is>
          <t>One of three Rule 2 triggers</t>
        </is>
      </c>
    </row>
    <row r="30" ht="28" customHeight="1">
      <c r="A30" s="4" t="inlineStr">
        <is>
          <t>Housing Ratio Threshold (ID Rule 2)</t>
        </is>
      </c>
      <c r="B30" s="4" t="inlineStr">
        <is>
          <t>&gt; 55%</t>
        </is>
      </c>
      <c r="C30" s="4" t="inlineStr">
        <is>
          <t>Imminent Default Rule 2</t>
        </is>
      </c>
      <c r="D30" s="4" t="inlineStr">
        <is>
          <t>FNMA Imminent Default</t>
        </is>
      </c>
      <c r="E30" s="4" t="inlineStr">
        <is>
          <t>PITI / GMI * 100 &gt; 55% triggers Rule 2</t>
        </is>
      </c>
    </row>
    <row r="31" ht="28" customHeight="1">
      <c r="A31" s="3" t="inlineStr">
        <is>
          <t>Cash Reserves Threshold (ID Rule 1)</t>
        </is>
      </c>
      <c r="B31" s="3" t="inlineStr">
        <is>
          <t>&lt; 3 months PITI</t>
        </is>
      </c>
      <c r="C31" s="3" t="inlineStr">
        <is>
          <t>Imminent Default Rule 1</t>
        </is>
      </c>
      <c r="D31" s="3" t="inlineStr">
        <is>
          <t>FNMA Imminent Default</t>
        </is>
      </c>
      <c r="E31" s="3" t="inlineStr">
        <is>
          <t>Auto-computed: cashReservesAmount &lt; currentPITI * 3</t>
        </is>
      </c>
    </row>
    <row r="32" ht="28" customHeight="1">
      <c r="A32" s="4" t="inlineStr">
        <is>
          <t>MTMLTV for Rate Reduction</t>
        </is>
      </c>
      <c r="B32" s="4" t="inlineStr">
        <is>
          <t>&gt;= 50%</t>
        </is>
      </c>
      <c r="C32" s="4" t="inlineStr">
        <is>
          <t>Flex Modification (advisory)</t>
        </is>
      </c>
      <c r="D32" s="4" t="inlineStr">
        <is>
          <t>LL-2024-02</t>
        </is>
      </c>
      <c r="E32" s="4" t="inlineStr">
        <is>
          <t>Advisory - enables rate reduction step in modification waterfall</t>
        </is>
      </c>
    </row>
    <row r="33" ht="28" customHeight="1">
      <c r="A33" s="3" t="inlineStr">
        <is>
          <t>MTMLTV for Principal Forbearance</t>
        </is>
      </c>
      <c r="B33" s="3" t="inlineStr">
        <is>
          <t>&gt; 50%</t>
        </is>
      </c>
      <c r="C33" s="3" t="inlineStr">
        <is>
          <t>Flex Modification (advisory)</t>
        </is>
      </c>
      <c r="D33" s="3" t="inlineStr">
        <is>
          <t>LL-2024-02</t>
        </is>
      </c>
      <c r="E33" s="3" t="inlineStr">
        <is>
          <t>Advisory - enables principal forbearance step in modification waterfall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2026-03-30T15:53:28Z</dcterms:created>
  <dcterms:modified xsi:type="dcterms:W3CDTF">2026-03-30T15:53:28Z</dcterms:modified>
</cp:coreProperties>
</file>