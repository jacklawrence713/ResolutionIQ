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HLMC Overview" sheetId="1" state="visible" r:id="rId1"/>
    <sheet name="FHLMC Criteria Detail" sheetId="2" state="visible" r:id="rId2"/>
    <sheet name="FHLMC Calculations" sheetId="3" state="visible" r:id="rId3"/>
    <sheet name="FHLMC Waterfal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9"/>
    </font>
    <font>
      <name val="Calibri"/>
      <color rgb="00111827"/>
      <sz val="9"/>
    </font>
    <font>
      <name val="Calibri"/>
      <b val="1"/>
      <color rgb="00FFFFFF"/>
      <sz val="10"/>
    </font>
    <font>
      <name val="Calibri"/>
      <b val="1"/>
      <color rgb="00111827"/>
      <sz val="9"/>
    </font>
  </fonts>
  <fills count="13">
    <fill>
      <patternFill/>
    </fill>
    <fill>
      <patternFill patternType="gray125"/>
    </fill>
    <fill>
      <patternFill patternType="solid">
        <fgColor rgb="007B3F00"/>
      </patternFill>
    </fill>
    <fill>
      <patternFill patternType="solid">
        <fgColor rgb="00DBEAFE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2D5FA6"/>
      </patternFill>
    </fill>
    <fill>
      <patternFill patternType="solid">
        <fgColor rgb="00ECFDF5"/>
      </patternFill>
    </fill>
    <fill>
      <patternFill patternType="solid">
        <fgColor rgb="00EFF6FF"/>
      </patternFill>
    </fill>
    <fill>
      <patternFill patternType="solid">
        <fgColor rgb="00F0FDF4"/>
      </patternFill>
    </fill>
    <fill>
      <patternFill patternType="solid">
        <fgColor rgb="00FFF7ED"/>
      </patternFill>
    </fill>
    <fill>
      <patternFill patternType="solid">
        <fgColor rgb="00FEFCE8"/>
      </patternFill>
    </fill>
    <fill>
      <patternFill patternType="solid">
        <fgColor rgb="00FEF2F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6" borderId="0" applyAlignment="1" pivotButton="0" quotePrefix="0" xfId="0">
      <alignment horizontal="left" vertical="center" indent="1"/>
    </xf>
    <xf numFmtId="0" fontId="5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24" customWidth="1" min="3" max="3"/>
    <col width="36" customWidth="1" min="4" max="4"/>
    <col width="34" customWidth="1" min="5" max="5"/>
    <col width="28" customWidth="1" min="6" max="6"/>
  </cols>
  <sheetData>
    <row r="1" ht="22" customHeight="1">
      <c r="A1" s="1" t="inlineStr">
        <is>
          <t>ResolutionIQ - Freddie Mac (FHLMC) Loss Mitigation Programs: Calculation Overview</t>
        </is>
      </c>
    </row>
    <row r="2" ht="20" customHeight="1">
      <c r="A2" s="2" t="inlineStr">
        <is>
          <t>Program</t>
        </is>
      </c>
      <c r="B2" s="2" t="inlineStr">
        <is>
          <t>Category</t>
        </is>
      </c>
      <c r="C2" s="2" t="inlineStr">
        <is>
          <t>Quick Gate</t>
        </is>
      </c>
      <c r="D2" s="2" t="inlineStr">
        <is>
          <t>Key Eligibility Conditions</t>
        </is>
      </c>
      <c r="E2" s="2" t="inlineStr">
        <is>
          <t>Key Disqualifiers</t>
        </is>
      </c>
      <c r="F2" s="2" t="inlineStr">
        <is>
          <t>Regulatory Basis</t>
        </is>
      </c>
    </row>
    <row r="3" ht="52" customHeight="1">
      <c r="A3" s="3" t="inlineStr">
        <is>
          <t>FHLMC Reinstatement</t>
        </is>
      </c>
      <c r="B3" s="3" t="inlineStr">
        <is>
          <t>Pre-Default</t>
        </is>
      </c>
      <c r="C3" s="3" t="inlineStr">
        <is>
          <t>DLQ &gt; 0 OR arrears &gt; 0</t>
        </is>
      </c>
      <c r="D3" s="3" t="inlineStr">
        <is>
          <t>Any past-due balance exists (arrears &gt; 0 OR DLQ &gt; 0); borrower pays all amounts in lump sum</t>
        </is>
      </c>
      <c r="E3" s="3" t="inlineStr">
        <is>
          <t>Current loan with no arrears</t>
        </is>
      </c>
      <c r="F3" s="3" t="inlineStr">
        <is>
          <t>Single-Family Guide Sec 9202</t>
        </is>
      </c>
    </row>
    <row r="4" ht="52" customHeight="1">
      <c r="A4" s="4" t="inlineStr">
        <is>
          <t>FHLMC Repayment Plan</t>
        </is>
      </c>
      <c r="B4" s="4" t="inlineStr">
        <is>
          <t>Home Retention</t>
        </is>
      </c>
      <c r="C4" s="4" t="inlineStr">
        <is>
          <t>Non-disaster; conv 1st lien; DLQ &lt;= 12mo; hardship resolved; property OK</t>
        </is>
      </c>
      <c r="D4" s="4" t="inlineStr">
        <is>
          <t>Non-disaster hardship; conventional 1st lien; DLQ &lt;= 12 months; hardship resolved (temporary); property not condemned/abandoned</t>
        </is>
      </c>
      <c r="E4" s="4" t="inlineStr">
        <is>
          <t>Disaster; DLQ &gt; 12mo; unresolved hardship; condemned/abandoned; non-conventional/non-1st lien</t>
        </is>
      </c>
      <c r="F4" s="4" t="inlineStr">
        <is>
          <t>Single-Family Guide Sec 9203.2; Bulletin 2026-2</t>
        </is>
      </c>
    </row>
    <row r="5" ht="52" customHeight="1">
      <c r="A5" s="3" t="inlineStr">
        <is>
          <t>FHLMC Payment Deferral</t>
        </is>
      </c>
      <c r="B5" s="3" t="inlineStr">
        <is>
          <t>Home Retention</t>
        </is>
      </c>
      <c r="C5" s="3" t="inlineStr">
        <is>
          <t>Non-disaster; conv 1st lien; loan &gt;= 12mo; DLQ 2-6mo; hardship resolved; can resume; cum. deferred &lt; 18mo; QRPC; no blockers</t>
        </is>
      </c>
      <c r="D5" s="3" t="inlineStr">
        <is>
          <t>Non-disaster; conventional 1st lien; loan &gt;= 12 months; DLQ 2-6 months; hardship resolved; can resume full payment; cumulative deferred &lt; 18 months; last deferral &gt;= 12mo ago; QRPC achieved; no liquidation/TPP/pending offer</t>
        </is>
      </c>
      <c r="E5" s="3" t="inlineStr">
        <is>
          <t>Disaster; DLQ out of range; cannot resume; cum. cap hit; active blockers; no QRPC</t>
        </is>
      </c>
      <c r="F5" s="3" t="inlineStr">
        <is>
          <t>Single-Family Guide Sec 9203.23; Bulletin 2026-2</t>
        </is>
      </c>
    </row>
    <row r="6" ht="52" customHeight="1">
      <c r="A6" s="4" t="inlineStr">
        <is>
          <t>FHLMC Streamlined Payment Deferral</t>
        </is>
      </c>
      <c r="B6" s="4" t="inlineStr">
        <is>
          <t>Home Retention (Solicitation)</t>
        </is>
      </c>
      <c r="C6" s="4" t="inlineStr">
        <is>
          <t>Non-disaster; conv 1st lien; loan &gt;= 12mo; DLQ 2-24mo; cum. deferred &lt; 18mo; no blockers. NO hardship or income docs needed.</t>
        </is>
      </c>
      <c r="D6" s="4" t="inlineStr">
        <is>
          <t>Non-disaster; conventional 1st lien; loan &gt;= 12 months; DLQ 2-24 months (wider band); cumulative deferred &lt; 18 months; last deferral &gt;= 12mo ago; no liquidation/TPP/pending offer. No hardship resolution, income verification, or QRPC required - FHLMC solicitation only.</t>
        </is>
      </c>
      <c r="E6" s="4" t="inlineStr">
        <is>
          <t>Disaster; DLQ out of range; cum. cap hit; active blockers</t>
        </is>
      </c>
      <c r="F6" s="4" t="inlineStr">
        <is>
          <t>Single-Family Guide Sec 9203.4; Bulletin 2020-10; Bulletin 2026-2</t>
        </is>
      </c>
    </row>
    <row r="7" ht="52" customHeight="1">
      <c r="A7" s="3" t="inlineStr">
        <is>
          <t>FHLMC Disaster Payment Deferral</t>
        </is>
      </c>
      <c r="B7" s="3" t="inlineStr">
        <is>
          <t>Disaster Relief</t>
        </is>
      </c>
      <c r="C7" s="3" t="inlineStr">
        <is>
          <t>Disaster hardship; FEMA-designated; DLQ &lt; 2mo at disaster; DLQ 1-12mo now; hardship resolved; can resume; conv 1st lien; no blockers</t>
        </is>
      </c>
      <c r="D7" s="3" t="inlineStr">
        <is>
          <t>Disaster hardship; FEMA-designated event; conventional 1st lien; DLQ &lt; 2 months at disaster; current DLQ 1-12 months; hardship resolved; can resume full payment; no liquidation/TPP/pending offer</t>
        </is>
      </c>
      <c r="E7" s="3" t="inlineStr">
        <is>
          <t>Non-disaster; DLQ &gt;= 2mo at disaster; hardship not resolved; DLQ out of range</t>
        </is>
      </c>
      <c r="F7" s="3" t="inlineStr">
        <is>
          <t>Single-Family Guide Sec 9203 (Disaster); Bulletin 2026-2</t>
        </is>
      </c>
    </row>
    <row r="8" ht="52" customHeight="1">
      <c r="A8" s="4" t="inlineStr">
        <is>
          <t>FHLMC Forbearance Plan</t>
        </is>
      </c>
      <c r="B8" s="4" t="inlineStr">
        <is>
          <t>Forbearance</t>
        </is>
      </c>
      <c r="C8" s="4" t="inlineStr">
        <is>
          <t>Non-disaster; primary residence; temporary hardship OR unemployment; property OK; no liquidation</t>
        </is>
      </c>
      <c r="D8" s="4" t="inlineStr">
        <is>
          <t>Non-disaster hardship; primary residence only; temporary (short-term) hardship OR unemployment (unemployment MANDATORY before Flex Mod); property not condemned/abandoned; no active liquidation</t>
        </is>
      </c>
      <c r="E8" s="4" t="inlineStr">
        <is>
          <t>Disaster; non-primary residence; long-term/permanent hardship (-&gt; Flex Mod); condemned/abandoned; active liquidation</t>
        </is>
      </c>
      <c r="F8" s="4" t="inlineStr">
        <is>
          <t>Single-Family Guide Sec 9203.3; Bulletin 2026-2</t>
        </is>
      </c>
    </row>
    <row r="9" ht="52" customHeight="1">
      <c r="A9" s="3" t="inlineStr">
        <is>
          <t>Freddie Mac Flex Modification (Standard)</t>
        </is>
      </c>
      <c r="B9" s="3" t="inlineStr">
        <is>
          <t>Loan Modification</t>
        </is>
      </c>
      <c r="C9" s="3" t="inlineStr">
        <is>
          <t>Non-disaster; conv 1st lien; loan &gt;= 12mo; DLQ &gt;= 60d OR imminent default; long-term hardship; verified income (BRP); QRPC; &lt; 3 prior mods; no failed TPP 12mo; no re-default 12mo; no active workout</t>
        </is>
      </c>
      <c r="D9" s="3" t="inlineStr">
        <is>
          <t>Non-disaster; conventional; 1st lien; no recourse; loan &gt;= 12 months; DLQ &gt;= 60d (2mo) OR imminent default; long-term/permanent hardship; verified income (BRP required); QRPC achieved; &lt; 3 prior mods; no failed Flex TPP within 12mo; no re-default within 12mo; no active TPP/forbearance/repayment plan; no unexpired offer; no approved liquidation</t>
        </is>
      </c>
      <c r="E9" s="3" t="inlineStr">
        <is>
          <t>Disaster; short-term/resolved hardship; DLQ &lt; 60d with no ID; 3+ prior mods; failed TPP; re-defaulted; recourse; active workout</t>
        </is>
      </c>
      <c r="F9" s="3" t="inlineStr">
        <is>
          <t>Single-Family Guide Sec 9206.1; Sec 9206.6; Bulletin 2024-E; Bulletin 2026-2</t>
        </is>
      </c>
    </row>
    <row r="10" ht="52" customHeight="1">
      <c r="A10" s="4" t="inlineStr">
        <is>
          <t>Freddie Mac Flex Modification (Streamlined)</t>
        </is>
      </c>
      <c r="B10" s="4" t="inlineStr">
        <is>
          <t>Loan Modification (No-Doc)</t>
        </is>
      </c>
      <c r="C10" s="4" t="inlineStr">
        <is>
          <t>Non-disaster; conv 1st lien; loan &gt;= 12mo; DLQ &gt;= 90d (or step-rate &gt;= 60d); solicitation letter sent; &lt; 3 prior mods; no failed TPP; no re-default; no active workout. NO BRP required.</t>
        </is>
      </c>
      <c r="D10" s="4" t="inlineStr">
        <is>
          <t>Non-disaster; conventional; 1st lien; no recourse; loan &gt;= 12 months; DLQ &gt;= 3 months (90d) OR step-rate + DLQ &gt;= 60d within 12mo of adjustment; solicitation letter sent during 90-105 DLQ window; &lt; 3 prior mods; no failed Flex TPP 12mo; no re-default 12mo; no active workout; no liquidation. No BRP, hardship docs, or income verification required.</t>
        </is>
      </c>
      <c r="E10" s="4" t="inlineStr">
        <is>
          <t>DLQ &lt; 90d (without step-rate exception); 3+ prior mods; failed TPP; re-defaulted; no solicitation letter sent; active workout</t>
        </is>
      </c>
      <c r="F10" s="4" t="inlineStr">
        <is>
          <t>Single-Family Guide Sec 9206.7; Sec 9206.5; Bulletin 2024-E; Bulletin 2026-2</t>
        </is>
      </c>
    </row>
    <row r="11" ht="52" customHeight="1">
      <c r="A11" s="3" t="inlineStr">
        <is>
          <t>Freddie Mac Flex Modification (Disaster)</t>
        </is>
      </c>
      <c r="B11" s="3" t="inlineStr">
        <is>
          <t>Disaster Modification</t>
        </is>
      </c>
      <c r="C11" s="3" t="inlineStr">
        <is>
          <t>Disaster hardship; FEMA-designated; conv 1st lien; DLQ &lt; 60d at disaster; DLQ &gt;= 90d at evaluation; no recourse; no non-disaster active workout</t>
        </is>
      </c>
      <c r="D11" s="3" t="inlineStr">
        <is>
          <t>Disaster hardship; FEMA-designated; conventional; 1st lien; no recourse; DLQ &lt; 2 months (&lt; 60d) at time of disaster; current DLQ &gt;= 3 months (&gt;= 90d) at evaluation; no active liquidation; no non-disaster TPP/repayment plan; no unexpired non-disaster offer. No BRP, prior mod count cap, investment property hard stop.</t>
        </is>
      </c>
      <c r="E11" s="3" t="inlineStr">
        <is>
          <t>Non-disaster; no FEMA designation; DLQ &gt;= 60d at disaster; current DLQ &lt; 90d; recourse; active non-disaster workout</t>
        </is>
      </c>
      <c r="F11" s="3" t="inlineStr">
        <is>
          <t>Single-Family Guide Sec 9206.1(c)(v); Bulletin 2026-2 (eff. Feb 11, 2026)</t>
        </is>
      </c>
    </row>
    <row r="12" ht="52" customHeight="1">
      <c r="A12" s="4" t="inlineStr">
        <is>
          <t>Freddie Mac Short Sale</t>
        </is>
      </c>
      <c r="B12" s="4" t="inlineStr">
        <is>
          <t>Disposition</t>
        </is>
      </c>
      <c r="C12" s="4" t="inlineStr">
        <is>
          <t>Disposition intent; eligible hardship; conventional</t>
        </is>
      </c>
      <c r="D12" s="4" t="inlineStr">
        <is>
          <t>Borrower intent = disposition (NOT retention); any qualifying hardship (not 'None'); conventional mortgage. NOTE: Prior home retention evaluation NO LONGER required before short sale (Bulletin 2026-2).</t>
        </is>
      </c>
      <c r="E12" s="4" t="inlineStr">
        <is>
          <t>Retention intent; no qualifying hardship; non-conventional</t>
        </is>
      </c>
      <c r="F12" s="4" t="inlineStr">
        <is>
          <t>Bulletin 2026-2 (eff. Feb 11, 2026)</t>
        </is>
      </c>
    </row>
    <row r="13" ht="52" customHeight="1">
      <c r="A13" s="3" t="inlineStr">
        <is>
          <t>Freddie Mac Deed-in-Lieu (DIL)</t>
        </is>
      </c>
      <c r="B13" s="3" t="inlineStr">
        <is>
          <t>Disposition</t>
        </is>
      </c>
      <c r="C13" s="3" t="inlineStr">
        <is>
          <t>Disposition intent; eligible hardship; conventional; meets DIL requirements (clear title, etc.)</t>
        </is>
      </c>
      <c r="D13" s="3" t="inlineStr">
        <is>
          <t>Borrower intent = disposition; any qualifying hardship (not 'None'); conventional mortgage; meets DIL requirements (clear title, property condition, borrower cooperation)</t>
        </is>
      </c>
      <c r="E13" s="3" t="inlineStr">
        <is>
          <t>Retention intent; non-conventional; DIL requirements not met</t>
        </is>
      </c>
      <c r="F13" s="3" t="inlineStr">
        <is>
          <t>Single-Family Guide D2-3.3-02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22" customWidth="1" min="3" max="3"/>
    <col width="20" customWidth="1" min="4" max="4"/>
    <col width="26" customWidth="1" min="5" max="5"/>
    <col width="30" customWidth="1" min="6" max="6"/>
  </cols>
  <sheetData>
    <row r="1" ht="22" customHeight="1">
      <c r="A1" s="1" t="inlineStr">
        <is>
          <t>Freddie Mac - Detailed Eligibility Criteria Per Program</t>
        </is>
      </c>
    </row>
    <row r="2" ht="20" customHeight="1">
      <c r="A2" s="2" t="inlineStr">
        <is>
          <t>Program</t>
        </is>
      </c>
      <c r="B2" s="2" t="inlineStr">
        <is>
          <t>Criterion</t>
        </is>
      </c>
      <c r="C2" s="2" t="inlineStr">
        <is>
          <t>Field / Input</t>
        </is>
      </c>
      <c r="D2" s="2" t="inlineStr">
        <is>
          <t>Threshold</t>
        </is>
      </c>
      <c r="E2" s="2" t="inlineStr">
        <is>
          <t>Pass Condition</t>
        </is>
      </c>
      <c r="F2" s="2" t="inlineStr">
        <is>
          <t>Fail / Notes</t>
        </is>
      </c>
    </row>
    <row r="3" ht="18" customHeight="1">
      <c r="A3" s="5" t="inlineStr">
        <is>
          <t>ACTIVE STATUS BLOCKERS - Applied to Deferral and Flex Modification Programs</t>
        </is>
      </c>
    </row>
    <row r="4" ht="30" customHeight="1">
      <c r="A4" s="3" t="inlineStr">
        <is>
          <t>Active Blocker</t>
        </is>
      </c>
      <c r="B4" s="3" t="inlineStr">
        <is>
          <t>No Approved Liquidation Option Active</t>
        </is>
      </c>
      <c r="C4" s="3" t="inlineStr">
        <is>
          <t>fhlmcApprovedLiquidationOption</t>
        </is>
      </c>
      <c r="D4" s="3">
        <f> FALSE</f>
        <v/>
      </c>
      <c r="E4" s="3" t="inlineStr">
        <is>
          <t>No active approved liquidation in process</t>
        </is>
      </c>
      <c r="F4" s="3" t="inlineStr">
        <is>
          <t>Active liquidation option (short sale/DIL in progress)</t>
        </is>
      </c>
    </row>
    <row r="5" ht="30" customHeight="1">
      <c r="A5" s="4" t="inlineStr">
        <is>
          <t>Active Blocker</t>
        </is>
      </c>
      <c r="B5" s="4" t="inlineStr">
        <is>
          <t>No Active/Performing TPP</t>
        </is>
      </c>
      <c r="C5" s="4" t="inlineStr">
        <is>
          <t>fhlmcActiveTPP</t>
        </is>
      </c>
      <c r="D5" s="4">
        <f> FALSE</f>
        <v/>
      </c>
      <c r="E5" s="4" t="inlineStr">
        <is>
          <t>No active trial payment plan</t>
        </is>
      </c>
      <c r="F5" s="4" t="inlineStr">
        <is>
          <t>Active TPP -&gt; complete or default first</t>
        </is>
      </c>
    </row>
    <row r="6" ht="30" customHeight="1">
      <c r="A6" s="3" t="inlineStr">
        <is>
          <t>Active Blocker</t>
        </is>
      </c>
      <c r="B6" s="3" t="inlineStr">
        <is>
          <t>No Active Forbearance Plan (Flex Mod)</t>
        </is>
      </c>
      <c r="C6" s="3" t="inlineStr">
        <is>
          <t>fhlmcActiveForbearance</t>
        </is>
      </c>
      <c r="D6" s="3">
        <f> FALSE</f>
        <v/>
      </c>
      <c r="E6" s="3" t="inlineStr">
        <is>
          <t>No active forbearance plan</t>
        </is>
      </c>
      <c r="F6" s="3" t="inlineStr">
        <is>
          <t>Active forbearance (Flex Mod only; disaster forbearance OK for Disaster Flex Mod)</t>
        </is>
      </c>
    </row>
    <row r="7" ht="30" customHeight="1">
      <c r="A7" s="4" t="inlineStr">
        <is>
          <t>Active Blocker</t>
        </is>
      </c>
      <c r="B7" s="4" t="inlineStr">
        <is>
          <t>No Active Repayment Plan (Flex Mod)</t>
        </is>
      </c>
      <c r="C7" s="4" t="inlineStr">
        <is>
          <t>fhlmcActiveRepayPlan</t>
        </is>
      </c>
      <c r="D7" s="4">
        <f> FALSE</f>
        <v/>
      </c>
      <c r="E7" s="4" t="inlineStr">
        <is>
          <t>No active repayment plan</t>
        </is>
      </c>
      <c r="F7" s="4" t="inlineStr">
        <is>
          <t>Active repayment plan</t>
        </is>
      </c>
    </row>
    <row r="8" ht="30" customHeight="1">
      <c r="A8" s="3" t="inlineStr">
        <is>
          <t>Active Blocker</t>
        </is>
      </c>
      <c r="B8" s="3" t="inlineStr">
        <is>
          <t>No Unexpired Alternate Workout Offer</t>
        </is>
      </c>
      <c r="C8" s="3" t="inlineStr">
        <is>
          <t>fhlmcUnexpiredOffer</t>
        </is>
      </c>
      <c r="D8" s="3">
        <f> FALSE</f>
        <v/>
      </c>
      <c r="E8" s="3" t="inlineStr">
        <is>
          <t>No pending unexpired workout offer to borrower</t>
        </is>
      </c>
      <c r="F8" s="3" t="inlineStr">
        <is>
          <t>Unexpired offer outstanding -&gt; resolve first</t>
        </is>
      </c>
    </row>
    <row r="9" ht="30" customHeight="1">
      <c r="A9" s="4" t="inlineStr">
        <is>
          <t>Active Blocker</t>
        </is>
      </c>
      <c r="B9" s="4" t="inlineStr">
        <is>
          <t>No Recourse Arrangement (Flex Mods only)</t>
        </is>
      </c>
      <c r="C9" s="4" t="inlineStr">
        <is>
          <t>fhlmcRecourse</t>
        </is>
      </c>
      <c r="D9" s="4">
        <f> FALSE</f>
        <v/>
      </c>
      <c r="E9" s="4" t="inlineStr">
        <is>
          <t>No recourse/indemnification arrangement</t>
        </is>
      </c>
      <c r="F9" s="4" t="inlineStr">
        <is>
          <t>Recourse exists -&gt; hard bar to Flex Modifications</t>
        </is>
      </c>
    </row>
    <row r="10" ht="18" customHeight="1">
      <c r="A10" s="5" t="inlineStr">
        <is>
          <t>FHLMC REINSTATEMENT (Sec 9202)</t>
        </is>
      </c>
    </row>
    <row r="11" ht="30" customHeight="1">
      <c r="A11" s="3" t="inlineStr">
        <is>
          <t>FHLMC Reinstatement</t>
        </is>
      </c>
      <c r="B11" s="3" t="inlineStr">
        <is>
          <t>Past-Due Amounts Exist</t>
        </is>
      </c>
      <c r="C11" s="3" t="inlineStr">
        <is>
          <t>arrearagesToCapitalize &gt; 0 OR delinquencyMonths &gt; 0</t>
        </is>
      </c>
      <c r="D11" s="3" t="inlineStr">
        <is>
          <t>&gt; 0 arrears OR &gt; 0 DLQ months</t>
        </is>
      </c>
      <c r="E11" s="3" t="inlineStr">
        <is>
          <t>Any past-due balance or delinquency exists</t>
        </is>
      </c>
      <c r="F11" s="3" t="inlineStr">
        <is>
          <t>Loan is fully current with no arrears</t>
        </is>
      </c>
    </row>
    <row r="12" ht="18" customHeight="1">
      <c r="A12" s="5" t="inlineStr">
        <is>
          <t>FHLMC REPAYMENT PLAN (Sec 9203.2 / Bulletin 2026-2)</t>
        </is>
      </c>
    </row>
    <row r="13" ht="30" customHeight="1">
      <c r="A13" s="4" t="inlineStr">
        <is>
          <t>Repayment Plan</t>
        </is>
      </c>
      <c r="B13" s="4" t="inlineStr">
        <is>
          <t>Non-Disaster Hardship</t>
        </is>
      </c>
      <c r="C13" s="4" t="inlineStr">
        <is>
          <t>hardshipType</t>
        </is>
      </c>
      <c r="D13" s="4" t="inlineStr">
        <is>
          <t>Not Disaster</t>
        </is>
      </c>
      <c r="E13" s="4" t="inlineStr">
        <is>
          <t>Non-disaster hardship</t>
        </is>
      </c>
      <c r="F13" s="4" t="inlineStr">
        <is>
          <t>Disaster -&gt; use disaster track</t>
        </is>
      </c>
    </row>
    <row r="14" ht="30" customHeight="1">
      <c r="A14" s="3" t="inlineStr">
        <is>
          <t>Repayment Plan</t>
        </is>
      </c>
      <c r="B14" s="3" t="inlineStr">
        <is>
          <t>Conventional 1st Lien</t>
        </is>
      </c>
      <c r="C14" s="3" t="inlineStr">
        <is>
          <t>fhlmcMortgageType AND lienPosition</t>
        </is>
      </c>
      <c r="D14" s="3" t="inlineStr">
        <is>
          <t>Conventional AND First</t>
        </is>
      </c>
      <c r="E14" s="3" t="inlineStr">
        <is>
          <t>Conventional mortgage in first lien position</t>
        </is>
      </c>
      <c r="F14" s="3" t="inlineStr">
        <is>
          <t>FHA/VA/RHS or junior lien</t>
        </is>
      </c>
    </row>
    <row r="15" ht="30" customHeight="1">
      <c r="A15" s="4" t="inlineStr">
        <is>
          <t>Repayment Plan</t>
        </is>
      </c>
      <c r="B15" s="4" t="inlineStr">
        <is>
          <t>DLQ &lt;= 12 Months</t>
        </is>
      </c>
      <c r="C15" s="4" t="inlineStr">
        <is>
          <t>delinquencyMonths</t>
        </is>
      </c>
      <c r="D15" s="4" t="inlineStr">
        <is>
          <t>&lt;= 12 months (Sec 9203.2 max plan duration)</t>
        </is>
      </c>
      <c r="E15" s="4" t="inlineStr">
        <is>
          <t>Up to 12 months DLQ</t>
        </is>
      </c>
      <c r="F15" s="4" t="inlineStr">
        <is>
          <t>&gt; 12 months DLQ</t>
        </is>
      </c>
    </row>
    <row r="16" ht="30" customHeight="1">
      <c r="A16" s="3" t="inlineStr">
        <is>
          <t>Repayment Plan</t>
        </is>
      </c>
      <c r="B16" s="3" t="inlineStr">
        <is>
          <t>Hardship Resolved</t>
        </is>
      </c>
      <c r="C16" s="3" t="inlineStr">
        <is>
          <t>fhlmcHardshipResolved</t>
        </is>
      </c>
      <c r="D16" s="3">
        <f> TRUE</f>
        <v/>
      </c>
      <c r="E16" s="3" t="inlineStr">
        <is>
          <t>Temporary hardship has resolved</t>
        </is>
      </c>
      <c r="F16" s="3" t="inlineStr">
        <is>
          <t>Ongoing hardship -&gt; use Forbearance or Flex Mod</t>
        </is>
      </c>
    </row>
    <row r="17" ht="30" customHeight="1">
      <c r="A17" s="4" t="inlineStr">
        <is>
          <t>Repayment Plan</t>
        </is>
      </c>
      <c r="B17" s="4" t="inlineStr">
        <is>
          <t>Property Not Condemned/Abandoned</t>
        </is>
      </c>
      <c r="C17" s="4" t="inlineStr">
        <is>
          <t>propertyCondition, occupancyAbandoned</t>
        </is>
      </c>
      <c r="D17" s="4" t="inlineStr">
        <is>
          <t>Not Condemned AND not abandoned</t>
        </is>
      </c>
      <c r="E17" s="4" t="inlineStr">
        <is>
          <t>Habitable and occupied property</t>
        </is>
      </c>
      <c r="F17" s="4" t="inlineStr">
        <is>
          <t>Condemned or abandoned</t>
        </is>
      </c>
    </row>
    <row r="18" ht="18" customHeight="1">
      <c r="A18" s="5" t="inlineStr">
        <is>
          <t>FHLMC PAYMENT DEFERRAL (Sec 9203.23 / Bulletin 2026-2)</t>
        </is>
      </c>
    </row>
    <row r="19" ht="30" customHeight="1">
      <c r="A19" s="3" t="inlineStr">
        <is>
          <t>Payment Deferral</t>
        </is>
      </c>
      <c r="B19" s="3" t="inlineStr">
        <is>
          <t>Non-Disaster Hardship</t>
        </is>
      </c>
      <c r="C19" s="3" t="inlineStr">
        <is>
          <t>hardshipType</t>
        </is>
      </c>
      <c r="D19" s="3" t="inlineStr">
        <is>
          <t>Not Disaster</t>
        </is>
      </c>
      <c r="E19" s="3" t="inlineStr">
        <is>
          <t>Non-disaster hardship</t>
        </is>
      </c>
      <c r="F19" s="3" t="inlineStr">
        <is>
          <t>Disaster -&gt; use Disaster Payment Deferral</t>
        </is>
      </c>
    </row>
    <row r="20" ht="30" customHeight="1">
      <c r="A20" s="4" t="inlineStr">
        <is>
          <t>Payment Deferral</t>
        </is>
      </c>
      <c r="B20" s="4" t="inlineStr">
        <is>
          <t>Conventional 1st Lien</t>
        </is>
      </c>
      <c r="C20" s="4" t="inlineStr">
        <is>
          <t>fhlmcMortgageType AND lienPosition</t>
        </is>
      </c>
      <c r="D20" s="4" t="inlineStr">
        <is>
          <t>Conventional AND First</t>
        </is>
      </c>
      <c r="E20" s="4" t="inlineStr">
        <is>
          <t>Conventional first lien</t>
        </is>
      </c>
      <c r="F20" s="4" t="inlineStr">
        <is>
          <t>FHA/VA/RHS or junior lien</t>
        </is>
      </c>
    </row>
    <row r="21" ht="30" customHeight="1">
      <c r="A21" s="3" t="inlineStr">
        <is>
          <t>Payment Deferral</t>
        </is>
      </c>
      <c r="B21" s="3" t="inlineStr">
        <is>
          <t>Loan Age &gt;= 12 Months</t>
        </is>
      </c>
      <c r="C21" s="3" t="inlineStr">
        <is>
          <t>noteDate / noteFirstPaymentDate (auto) OR fhlmcLoanAge (manual)</t>
        </is>
      </c>
      <c r="D21" s="3" t="inlineStr">
        <is>
          <t>&gt;= 12 months</t>
        </is>
      </c>
      <c r="E21" s="3" t="inlineStr">
        <is>
          <t>Loan at least 12 months old</t>
        </is>
      </c>
      <c r="F21" s="3" t="inlineStr">
        <is>
          <t>&lt; 12 months</t>
        </is>
      </c>
    </row>
    <row r="22" ht="30" customHeight="1">
      <c r="A22" s="4" t="inlineStr">
        <is>
          <t>Payment Deferral</t>
        </is>
      </c>
      <c r="B22" s="4" t="inlineStr">
        <is>
          <t>DLQ 2-6 Months (Tight Band)</t>
        </is>
      </c>
      <c r="C22" s="4" t="inlineStr">
        <is>
          <t>delinquencyMonths</t>
        </is>
      </c>
      <c r="D22" s="4" t="inlineStr">
        <is>
          <t>&gt;= 2 AND &lt;= 6 months</t>
        </is>
      </c>
      <c r="E22" s="4" t="inlineStr">
        <is>
          <t>2, 3, 4, 5, or 6 months DLQ</t>
        </is>
      </c>
      <c r="F22" s="4" t="inlineStr">
        <is>
          <t>&lt; 2 or &gt; 6 months DLQ</t>
        </is>
      </c>
    </row>
    <row r="23" ht="30" customHeight="1">
      <c r="A23" s="3" t="inlineStr">
        <is>
          <t>Payment Deferral</t>
        </is>
      </c>
      <c r="B23" s="3" t="inlineStr">
        <is>
          <t>Hardship Resolved</t>
        </is>
      </c>
      <c r="C23" s="3" t="inlineStr">
        <is>
          <t>fhlmcHardshipResolved</t>
        </is>
      </c>
      <c r="D23" s="3">
        <f> TRUE</f>
        <v/>
      </c>
      <c r="E23" s="3" t="inlineStr">
        <is>
          <t>Hardship has resolved</t>
        </is>
      </c>
      <c r="F23" s="3" t="inlineStr">
        <is>
          <t>Ongoing hardship</t>
        </is>
      </c>
    </row>
    <row r="24" ht="30" customHeight="1">
      <c r="A24" s="4" t="inlineStr">
        <is>
          <t>Payment Deferral</t>
        </is>
      </c>
      <c r="B24" s="4" t="inlineStr">
        <is>
          <t>Can Resume Full Contractual Payment</t>
        </is>
      </c>
      <c r="C24" s="4" t="inlineStr">
        <is>
          <t>fhlmcCanResumeFull</t>
        </is>
      </c>
      <c r="D24" s="4">
        <f> TRUE</f>
        <v/>
      </c>
      <c r="E24" s="4" t="inlineStr">
        <is>
          <t>Borrower can make full scheduled payment going forward</t>
        </is>
      </c>
      <c r="F24" s="4" t="inlineStr">
        <is>
          <t>Cannot resume full payment</t>
        </is>
      </c>
    </row>
    <row r="25" ht="30" customHeight="1">
      <c r="A25" s="3" t="inlineStr">
        <is>
          <t>Payment Deferral</t>
        </is>
      </c>
      <c r="B25" s="3" t="inlineStr">
        <is>
          <t>Cumulative Deferred &lt; 18 Months (Lifetime Cap)</t>
        </is>
      </c>
      <c r="C25" s="3" t="inlineStr">
        <is>
          <t>fhlmcCumulativeDeferredMonths</t>
        </is>
      </c>
      <c r="D25" s="3" t="inlineStr">
        <is>
          <t>&lt; 18 months (lifetime non-disaster cap, Sec 9203.23)</t>
        </is>
      </c>
      <c r="E25" s="3" t="inlineStr">
        <is>
          <t>Prior deferrals &lt; 18 months</t>
        </is>
      </c>
      <c r="F25" s="3" t="inlineStr">
        <is>
          <t>&gt;= 18 months already deferred</t>
        </is>
      </c>
    </row>
    <row r="26" ht="30" customHeight="1">
      <c r="A26" s="4" t="inlineStr">
        <is>
          <t>Payment Deferral</t>
        </is>
      </c>
      <c r="B26" s="4" t="inlineStr">
        <is>
          <t>Prior Deferral &gt;= 12 Months Ago OR Never</t>
        </is>
      </c>
      <c r="C26" s="4" t="inlineStr">
        <is>
          <t>fhlmcPriorDeferralMonths</t>
        </is>
      </c>
      <c r="D26" s="4">
        <f> 0 (never) OR &gt;= 12 months ago</f>
        <v/>
      </c>
      <c r="E26" s="4" t="inlineStr">
        <is>
          <t>No prior deferral OR last deferral &gt;= 12 months ago</t>
        </is>
      </c>
      <c r="F26" s="4" t="inlineStr">
        <is>
          <t>Prior deferral &lt; 12 months ago</t>
        </is>
      </c>
    </row>
    <row r="27" ht="30" customHeight="1">
      <c r="A27" s="3" t="inlineStr">
        <is>
          <t>Payment Deferral</t>
        </is>
      </c>
      <c r="B27" s="3" t="inlineStr">
        <is>
          <t>QRPC Achieved (Sec 9203.23)</t>
        </is>
      </c>
      <c r="C27" s="3" t="inlineStr">
        <is>
          <t>fhlmcQRPCAchieved</t>
        </is>
      </c>
      <c r="D27" s="3">
        <f> TRUE</f>
        <v/>
      </c>
      <c r="E27" s="3" t="inlineStr">
        <is>
          <t>Qualified Right Party Contact achieved</t>
        </is>
      </c>
      <c r="F27" s="3" t="inlineStr">
        <is>
          <t>QRPC not achieved</t>
        </is>
      </c>
    </row>
    <row r="28" ht="30" customHeight="1">
      <c r="A28" s="4" t="inlineStr">
        <is>
          <t>Payment Deferral</t>
        </is>
      </c>
      <c r="B28" s="4" t="inlineStr">
        <is>
          <t>No Active Liquidation</t>
        </is>
      </c>
      <c r="C28" s="4" t="inlineStr">
        <is>
          <t>fhlmcApprovedLiquidationOption</t>
        </is>
      </c>
      <c r="D28" s="4">
        <f> FALSE</f>
        <v/>
      </c>
      <c r="E28" s="4" t="inlineStr">
        <is>
          <t>No active liquidation option</t>
        </is>
      </c>
      <c r="F28" s="4" t="inlineStr">
        <is>
          <t>Active liquidation</t>
        </is>
      </c>
    </row>
    <row r="29" ht="30" customHeight="1">
      <c r="A29" s="3" t="inlineStr">
        <is>
          <t>Payment Deferral</t>
        </is>
      </c>
      <c r="B29" s="3" t="inlineStr">
        <is>
          <t>No Active TPP</t>
        </is>
      </c>
      <c r="C29" s="3" t="inlineStr">
        <is>
          <t>fhlmcActiveTPP</t>
        </is>
      </c>
      <c r="D29" s="3">
        <f> FALSE</f>
        <v/>
      </c>
      <c r="E29" s="3" t="inlineStr">
        <is>
          <t>No active trial payment plan</t>
        </is>
      </c>
      <c r="F29" s="3" t="inlineStr">
        <is>
          <t>Active TPP</t>
        </is>
      </c>
    </row>
    <row r="30" ht="30" customHeight="1">
      <c r="A30" s="4" t="inlineStr">
        <is>
          <t>Payment Deferral</t>
        </is>
      </c>
      <c r="B30" s="4" t="inlineStr">
        <is>
          <t>No Unexpired Offer</t>
        </is>
      </c>
      <c r="C30" s="4" t="inlineStr">
        <is>
          <t>fhlmcUnexpiredOffer</t>
        </is>
      </c>
      <c r="D30" s="4">
        <f> FALSE</f>
        <v/>
      </c>
      <c r="E30" s="4" t="inlineStr">
        <is>
          <t>No pending alternate workout offer</t>
        </is>
      </c>
      <c r="F30" s="4" t="inlineStr">
        <is>
          <t>Unexpired offer outstanding</t>
        </is>
      </c>
    </row>
    <row r="31" ht="18" customHeight="1">
      <c r="A31" s="5" t="inlineStr">
        <is>
          <t>FHLMC STREAMLINED PAYMENT DEFERRAL (Sec 9203.4 / Bulletin 2020-10 / Bulletin 2026-2)</t>
        </is>
      </c>
    </row>
    <row r="32" ht="30" customHeight="1">
      <c r="A32" s="3" t="inlineStr">
        <is>
          <t>Streamlined Deferral</t>
        </is>
      </c>
      <c r="B32" s="3" t="inlineStr">
        <is>
          <t>Non-Disaster Hardship</t>
        </is>
      </c>
      <c r="C32" s="3" t="inlineStr">
        <is>
          <t>hardshipType</t>
        </is>
      </c>
      <c r="D32" s="3" t="inlineStr">
        <is>
          <t>Not Disaster</t>
        </is>
      </c>
      <c r="E32" s="3" t="inlineStr">
        <is>
          <t>Non-disaster hardship</t>
        </is>
      </c>
      <c r="F32" s="3" t="inlineStr">
        <is>
          <t>Disaster</t>
        </is>
      </c>
    </row>
    <row r="33" ht="30" customHeight="1">
      <c r="A33" s="4" t="inlineStr">
        <is>
          <t>Streamlined Deferral</t>
        </is>
      </c>
      <c r="B33" s="4" t="inlineStr">
        <is>
          <t>Conventional 1st Lien</t>
        </is>
      </c>
      <c r="C33" s="4" t="inlineStr">
        <is>
          <t>fhlmcMortgageType AND lienPosition</t>
        </is>
      </c>
      <c r="D33" s="4" t="inlineStr">
        <is>
          <t>Conventional AND First</t>
        </is>
      </c>
      <c r="E33" s="4" t="inlineStr">
        <is>
          <t>Conventional first lien</t>
        </is>
      </c>
      <c r="F33" s="4" t="inlineStr">
        <is>
          <t>FHA/VA/RHS or junior lien</t>
        </is>
      </c>
    </row>
    <row r="34" ht="30" customHeight="1">
      <c r="A34" s="3" t="inlineStr">
        <is>
          <t>Streamlined Deferral</t>
        </is>
      </c>
      <c r="B34" s="3" t="inlineStr">
        <is>
          <t>Loan Age &gt;= 12 Months</t>
        </is>
      </c>
      <c r="C34" s="3" t="inlineStr">
        <is>
          <t>noteDate / noteFirstPaymentDate (auto) OR fhlmcLoanAge</t>
        </is>
      </c>
      <c r="D34" s="3" t="inlineStr">
        <is>
          <t>&gt;= 12 months</t>
        </is>
      </c>
      <c r="E34" s="3" t="inlineStr">
        <is>
          <t>Loan &gt;= 12 months old</t>
        </is>
      </c>
      <c r="F34" s="3" t="inlineStr">
        <is>
          <t>&lt; 12 months</t>
        </is>
      </c>
    </row>
    <row r="35" ht="30" customHeight="1">
      <c r="A35" s="4" t="inlineStr">
        <is>
          <t>Streamlined Deferral</t>
        </is>
      </c>
      <c r="B35" s="4" t="inlineStr">
        <is>
          <t>DLQ 2-24 Months (WIDER BAND)</t>
        </is>
      </c>
      <c r="C35" s="4" t="inlineStr">
        <is>
          <t>delinquencyMonths</t>
        </is>
      </c>
      <c r="D35" s="4" t="inlineStr">
        <is>
          <t>&gt;= 2 AND &lt;= 24 months</t>
        </is>
      </c>
      <c r="E35" s="4" t="inlineStr">
        <is>
          <t>2-24 months DLQ (much wider than standard 2-6)</t>
        </is>
      </c>
      <c r="F35" s="4" t="inlineStr">
        <is>
          <t>&lt; 2 or &gt; 24 months DLQ</t>
        </is>
      </c>
    </row>
    <row r="36" ht="30" customHeight="1">
      <c r="A36" s="3" t="inlineStr">
        <is>
          <t>Streamlined Deferral</t>
        </is>
      </c>
      <c r="B36" s="3" t="inlineStr">
        <is>
          <t>Cumulative Deferred &lt; 18 Months</t>
        </is>
      </c>
      <c r="C36" s="3" t="inlineStr">
        <is>
          <t>fhlmcCumulativeDeferredMonths</t>
        </is>
      </c>
      <c r="D36" s="3" t="inlineStr">
        <is>
          <t>&lt; 18 months</t>
        </is>
      </c>
      <c r="E36" s="3" t="inlineStr">
        <is>
          <t>Prior deferrals &lt; 18 months</t>
        </is>
      </c>
      <c r="F36" s="3" t="inlineStr">
        <is>
          <t>&gt;= 18 months already deferred</t>
        </is>
      </c>
    </row>
    <row r="37" ht="30" customHeight="1">
      <c r="A37" s="4" t="inlineStr">
        <is>
          <t>Streamlined Deferral</t>
        </is>
      </c>
      <c r="B37" s="4" t="inlineStr">
        <is>
          <t>Prior Deferral &gt;= 12 Months Ago OR Never</t>
        </is>
      </c>
      <c r="C37" s="4" t="inlineStr">
        <is>
          <t>fhlmcPriorDeferralMonths</t>
        </is>
      </c>
      <c r="D37" s="4">
        <f> 0 OR &gt;= 12 months ago</f>
        <v/>
      </c>
      <c r="E37" s="4" t="inlineStr">
        <is>
          <t>No prior or &gt;= 12mo gap</t>
        </is>
      </c>
      <c r="F37" s="4" t="inlineStr">
        <is>
          <t>&lt; 12 months since last deferral</t>
        </is>
      </c>
    </row>
    <row r="38" ht="30" customHeight="1">
      <c r="A38" s="3" t="inlineStr">
        <is>
          <t>Streamlined Deferral</t>
        </is>
      </c>
      <c r="B38" s="3" t="inlineStr">
        <is>
          <t>No Active Liquidation</t>
        </is>
      </c>
      <c r="C38" s="3" t="inlineStr">
        <is>
          <t>fhlmcApprovedLiquidationOption</t>
        </is>
      </c>
      <c r="D38" s="3">
        <f> FALSE</f>
        <v/>
      </c>
      <c r="E38" s="3" t="inlineStr">
        <is>
          <t>No active liquidation</t>
        </is>
      </c>
      <c r="F38" s="3" t="inlineStr">
        <is>
          <t>Active liquidation</t>
        </is>
      </c>
    </row>
    <row r="39" ht="30" customHeight="1">
      <c r="A39" s="4" t="inlineStr">
        <is>
          <t>Streamlined Deferral</t>
        </is>
      </c>
      <c r="B39" s="4" t="inlineStr">
        <is>
          <t>No Active TPP</t>
        </is>
      </c>
      <c r="C39" s="4" t="inlineStr">
        <is>
          <t>fhlmcActiveTPP</t>
        </is>
      </c>
      <c r="D39" s="4">
        <f> FALSE</f>
        <v/>
      </c>
      <c r="E39" s="4" t="inlineStr">
        <is>
          <t>No active TPP</t>
        </is>
      </c>
      <c r="F39" s="4" t="inlineStr">
        <is>
          <t>Active TPP</t>
        </is>
      </c>
    </row>
    <row r="40" ht="30" customHeight="1">
      <c r="A40" s="3" t="inlineStr">
        <is>
          <t>Streamlined Deferral</t>
        </is>
      </c>
      <c r="B40" s="3" t="inlineStr">
        <is>
          <t>No Unexpired Offer</t>
        </is>
      </c>
      <c r="C40" s="3" t="inlineStr">
        <is>
          <t>fhlmcUnexpiredOffer</t>
        </is>
      </c>
      <c r="D40" s="3">
        <f> FALSE</f>
        <v/>
      </c>
      <c r="E40" s="3" t="inlineStr">
        <is>
          <t>No competing offer</t>
        </is>
      </c>
      <c r="F40" s="3" t="inlineStr">
        <is>
          <t>Unexpired offer</t>
        </is>
      </c>
    </row>
    <row r="41" ht="30" customHeight="1">
      <c r="A41" s="4" t="inlineStr">
        <is>
          <t>Streamlined Deferral</t>
        </is>
      </c>
      <c r="B41" s="4" t="inlineStr">
        <is>
          <t>NO Hardship Resolution Required</t>
        </is>
      </c>
      <c r="C41" s="4" t="inlineStr">
        <is>
          <t>N/A</t>
        </is>
      </c>
      <c r="D41" s="4" t="inlineStr">
        <is>
          <t>No documentation needed</t>
        </is>
      </c>
      <c r="E41" s="4" t="inlineStr">
        <is>
          <t>No hardship resolution, income verification, QRPC, or can-resume check required</t>
        </is>
      </c>
      <c r="F41" s="4" t="inlineStr">
        <is>
          <t>KEY ADVANTAGE: FHLMC proactive solicitation only</t>
        </is>
      </c>
    </row>
    <row r="42" ht="18" customHeight="1">
      <c r="A42" s="5" t="inlineStr">
        <is>
          <t>FHLMC DISASTER PAYMENT DEFERRAL (Sec 9203 Disaster / Bulletin 2026-2)</t>
        </is>
      </c>
    </row>
    <row r="43" ht="30" customHeight="1">
      <c r="A43" s="3" t="inlineStr">
        <is>
          <t>Disaster Deferral</t>
        </is>
      </c>
      <c r="B43" s="3" t="inlineStr">
        <is>
          <t>Disaster-Related Hardship</t>
        </is>
      </c>
      <c r="C43" s="3" t="inlineStr">
        <is>
          <t>fhlmcDisasterHardship</t>
        </is>
      </c>
      <c r="D43" s="3">
        <f> TRUE</f>
        <v/>
      </c>
      <c r="E43" s="3" t="inlineStr">
        <is>
          <t>Disaster hardship confirmed</t>
        </is>
      </c>
      <c r="F43" s="3" t="inlineStr">
        <is>
          <t>Non-disaster -&gt; use standard Payment Deferral</t>
        </is>
      </c>
    </row>
    <row r="44" ht="30" customHeight="1">
      <c r="A44" s="4" t="inlineStr">
        <is>
          <t>Disaster Deferral</t>
        </is>
      </c>
      <c r="B44" s="4" t="inlineStr">
        <is>
          <t>FEMA-Designated Event</t>
        </is>
      </c>
      <c r="C44" s="4" t="inlineStr">
        <is>
          <t>fhlmcFEMADesignation</t>
        </is>
      </c>
      <c r="D44" s="4">
        <f> TRUE</f>
        <v/>
      </c>
      <c r="E44" s="4" t="inlineStr">
        <is>
          <t>Eligible FEMA-declared disaster</t>
        </is>
      </c>
      <c r="F44" s="4" t="inlineStr">
        <is>
          <t>Not FEMA-designated</t>
        </is>
      </c>
    </row>
    <row r="45" ht="30" customHeight="1">
      <c r="A45" s="3" t="inlineStr">
        <is>
          <t>Disaster Deferral</t>
        </is>
      </c>
      <c r="B45" s="3" t="inlineStr">
        <is>
          <t>DLQ &lt; 2 Months at Time of Disaster</t>
        </is>
      </c>
      <c r="C45" s="3" t="inlineStr">
        <is>
          <t>fhlmcDLQAtDisaster</t>
        </is>
      </c>
      <c r="D45" s="3" t="inlineStr">
        <is>
          <t>&lt; 2 months (0 or 1 month)</t>
        </is>
      </c>
      <c r="E45" s="3" t="inlineStr">
        <is>
          <t>Was current or 1 month DLQ when disaster struck</t>
        </is>
      </c>
      <c r="F45" s="3" t="inlineStr">
        <is>
          <t>&gt;= 2 months DLQ at time of disaster</t>
        </is>
      </c>
    </row>
    <row r="46" ht="30" customHeight="1">
      <c r="A46" s="4" t="inlineStr">
        <is>
          <t>Disaster Deferral</t>
        </is>
      </c>
      <c r="B46" s="4" t="inlineStr">
        <is>
          <t>Current DLQ 1-12 Months</t>
        </is>
      </c>
      <c r="C46" s="4" t="inlineStr">
        <is>
          <t>delinquencyMonths</t>
        </is>
      </c>
      <c r="D46" s="4" t="inlineStr">
        <is>
          <t>&gt;= 1 AND &lt;= 12 months</t>
        </is>
      </c>
      <c r="E46" s="4" t="inlineStr">
        <is>
          <t>1-12 months DLQ at evaluation</t>
        </is>
      </c>
      <c r="F46" s="4" t="inlineStr">
        <is>
          <t>&lt; 1 or &gt; 12 months DLQ</t>
        </is>
      </c>
    </row>
    <row r="47" ht="30" customHeight="1">
      <c r="A47" s="3" t="inlineStr">
        <is>
          <t>Disaster Deferral</t>
        </is>
      </c>
      <c r="B47" s="3" t="inlineStr">
        <is>
          <t>Hardship Resolved</t>
        </is>
      </c>
      <c r="C47" s="3" t="inlineStr">
        <is>
          <t>fhlmcHardshipResolved</t>
        </is>
      </c>
      <c r="D47" s="3">
        <f> TRUE</f>
        <v/>
      </c>
      <c r="E47" s="3" t="inlineStr">
        <is>
          <t>Disaster hardship has resolved</t>
        </is>
      </c>
      <c r="F47" s="3" t="inlineStr">
        <is>
          <t>Hardship still ongoing</t>
        </is>
      </c>
    </row>
    <row r="48" ht="30" customHeight="1">
      <c r="A48" s="4" t="inlineStr">
        <is>
          <t>Disaster Deferral</t>
        </is>
      </c>
      <c r="B48" s="4" t="inlineStr">
        <is>
          <t>Can Resume Full Contractual Payment</t>
        </is>
      </c>
      <c r="C48" s="4" t="inlineStr">
        <is>
          <t>fhlmcCanResumeFull</t>
        </is>
      </c>
      <c r="D48" s="4">
        <f> TRUE</f>
        <v/>
      </c>
      <c r="E48" s="4" t="inlineStr">
        <is>
          <t>Can make full scheduled payment going forward</t>
        </is>
      </c>
      <c r="F48" s="4" t="inlineStr">
        <is>
          <t>Cannot resume</t>
        </is>
      </c>
    </row>
    <row r="49" ht="30" customHeight="1">
      <c r="A49" s="3" t="inlineStr">
        <is>
          <t>Disaster Deferral</t>
        </is>
      </c>
      <c r="B49" s="3" t="inlineStr">
        <is>
          <t>Conventional 1st Lien</t>
        </is>
      </c>
      <c r="C49" s="3" t="inlineStr">
        <is>
          <t>fhlmcMortgageType AND lienPosition</t>
        </is>
      </c>
      <c r="D49" s="3" t="inlineStr">
        <is>
          <t>Conventional AND First</t>
        </is>
      </c>
      <c r="E49" s="3" t="inlineStr">
        <is>
          <t>Conventional first lien</t>
        </is>
      </c>
      <c r="F49" s="3" t="inlineStr">
        <is>
          <t>FHA/VA/RHS or junior lien</t>
        </is>
      </c>
    </row>
    <row r="50" ht="30" customHeight="1">
      <c r="A50" s="4" t="inlineStr">
        <is>
          <t>Disaster Deferral</t>
        </is>
      </c>
      <c r="B50" s="4" t="inlineStr">
        <is>
          <t>No Active Liquidation</t>
        </is>
      </c>
      <c r="C50" s="4" t="inlineStr">
        <is>
          <t>fhlmcApprovedLiquidationOption</t>
        </is>
      </c>
      <c r="D50" s="4">
        <f> FALSE</f>
        <v/>
      </c>
      <c r="E50" s="4" t="inlineStr">
        <is>
          <t>No active liquidation</t>
        </is>
      </c>
      <c r="F50" s="4" t="inlineStr">
        <is>
          <t>Active liquidation</t>
        </is>
      </c>
    </row>
    <row r="51" ht="30" customHeight="1">
      <c r="A51" s="3" t="inlineStr">
        <is>
          <t>Disaster Deferral</t>
        </is>
      </c>
      <c r="B51" s="3" t="inlineStr">
        <is>
          <t>No Active TPP</t>
        </is>
      </c>
      <c r="C51" s="3" t="inlineStr">
        <is>
          <t>fhlmcActiveTPP</t>
        </is>
      </c>
      <c r="D51" s="3">
        <f> FALSE</f>
        <v/>
      </c>
      <c r="E51" s="3" t="inlineStr">
        <is>
          <t>No active TPP</t>
        </is>
      </c>
      <c r="F51" s="3" t="inlineStr">
        <is>
          <t>Active TPP</t>
        </is>
      </c>
    </row>
    <row r="52" ht="30" customHeight="1">
      <c r="A52" s="4" t="inlineStr">
        <is>
          <t>Disaster Deferral</t>
        </is>
      </c>
      <c r="B52" s="4" t="inlineStr">
        <is>
          <t>No Unexpired Offer</t>
        </is>
      </c>
      <c r="C52" s="4" t="inlineStr">
        <is>
          <t>fhlmcUnexpiredOffer</t>
        </is>
      </c>
      <c r="D52" s="4">
        <f> FALSE</f>
        <v/>
      </c>
      <c r="E52" s="4" t="inlineStr">
        <is>
          <t>No competing offer</t>
        </is>
      </c>
      <c r="F52" s="4" t="inlineStr">
        <is>
          <t>Unexpired offer</t>
        </is>
      </c>
    </row>
    <row r="53" ht="30" customHeight="1">
      <c r="A53" s="3" t="inlineStr">
        <is>
          <t>Disaster Deferral</t>
        </is>
      </c>
      <c r="B53" s="3" t="inlineStr">
        <is>
          <t>NO Cumulative Cap Check</t>
        </is>
      </c>
      <c r="C53" s="3" t="inlineStr">
        <is>
          <t>N/A</t>
        </is>
      </c>
      <c r="D53" s="3" t="inlineStr">
        <is>
          <t>Disaster deferrals exempt from 18-month cap</t>
        </is>
      </c>
      <c r="E53" s="3" t="inlineStr">
        <is>
          <t>Disaster deferred amounts do NOT count toward 18-month non-disaster cap</t>
        </is>
      </c>
      <c r="F53" s="3" t="inlineStr">
        <is>
          <t>KEY DIFFERENCE from standard deferral</t>
        </is>
      </c>
    </row>
    <row r="54" ht="18" customHeight="1">
      <c r="A54" s="5" t="inlineStr">
        <is>
          <t>FHLMC FORBEARANCE PLAN (Sec 9203.3 / Bulletin 2026-2)</t>
        </is>
      </c>
    </row>
    <row r="55" ht="30" customHeight="1">
      <c r="A55" s="4" t="inlineStr">
        <is>
          <t>Forbearance Plan</t>
        </is>
      </c>
      <c r="B55" s="4" t="inlineStr">
        <is>
          <t>Non-Disaster Hardship</t>
        </is>
      </c>
      <c r="C55" s="4" t="inlineStr">
        <is>
          <t>hardshipType</t>
        </is>
      </c>
      <c r="D55" s="4" t="inlineStr">
        <is>
          <t>Not Disaster</t>
        </is>
      </c>
      <c r="E55" s="4" t="inlineStr">
        <is>
          <t>Non-disaster hardship</t>
        </is>
      </c>
      <c r="F55" s="4" t="inlineStr">
        <is>
          <t>Disaster hardship</t>
        </is>
      </c>
    </row>
    <row r="56" ht="30" customHeight="1">
      <c r="A56" s="3" t="inlineStr">
        <is>
          <t>Forbearance Plan</t>
        </is>
      </c>
      <c r="B56" s="3" t="inlineStr">
        <is>
          <t>Primary Residence Only (Sec 9203.3)</t>
        </is>
      </c>
      <c r="C56" s="3" t="inlineStr">
        <is>
          <t>fhlmcPropertyType</t>
        </is>
      </c>
      <c r="D56" s="3">
        <f> Primary Residence</f>
        <v/>
      </c>
      <c r="E56" s="3" t="inlineStr">
        <is>
          <t>Owner-occupied primary residence</t>
        </is>
      </c>
      <c r="F56" s="3" t="inlineStr">
        <is>
          <t>Investment property or second home -&gt; not eligible</t>
        </is>
      </c>
    </row>
    <row r="57" ht="30" customHeight="1">
      <c r="A57" s="4" t="inlineStr">
        <is>
          <t>Forbearance Plan</t>
        </is>
      </c>
      <c r="B57" s="4" t="inlineStr">
        <is>
          <t>Temporary Hardship OR Unemployment</t>
        </is>
      </c>
      <c r="C57" s="4" t="inlineStr">
        <is>
          <t>fhlmcLongTermHardship, hardshipType</t>
        </is>
      </c>
      <c r="D57" s="4" t="inlineStr">
        <is>
          <t>Short-term hardship OR hardshipType = Unemployment</t>
        </is>
      </c>
      <c r="E57" s="4" t="inlineStr">
        <is>
          <t>Temporary (not long-term) hardship OR unemployment</t>
        </is>
      </c>
      <c r="F57" s="4" t="inlineStr">
        <is>
          <t>Long-term/permanent hardship -&gt; use Flex Modification instead</t>
        </is>
      </c>
    </row>
    <row r="58" ht="30" customHeight="1">
      <c r="A58" s="3" t="inlineStr">
        <is>
          <t>Forbearance Plan</t>
        </is>
      </c>
      <c r="B58" s="3" t="inlineStr">
        <is>
          <t>Property Not Condemned/Abandoned</t>
        </is>
      </c>
      <c r="C58" s="3" t="inlineStr">
        <is>
          <t>propertyCondition, occupancyAbandoned</t>
        </is>
      </c>
      <c r="D58" s="3" t="inlineStr">
        <is>
          <t>Not Condemned AND not abandoned</t>
        </is>
      </c>
      <c r="E58" s="3" t="inlineStr">
        <is>
          <t>Habitable, occupied property</t>
        </is>
      </c>
      <c r="F58" s="3" t="inlineStr">
        <is>
          <t>Condemned or abandoned</t>
        </is>
      </c>
    </row>
    <row r="59" ht="30" customHeight="1">
      <c r="A59" s="4" t="inlineStr">
        <is>
          <t>Forbearance Plan</t>
        </is>
      </c>
      <c r="B59" s="4" t="inlineStr">
        <is>
          <t>No Active Liquidation</t>
        </is>
      </c>
      <c r="C59" s="4" t="inlineStr">
        <is>
          <t>fhlmcApprovedLiquidationOption</t>
        </is>
      </c>
      <c r="D59" s="4">
        <f> FALSE</f>
        <v/>
      </c>
      <c r="E59" s="4" t="inlineStr">
        <is>
          <t>No active liquidation</t>
        </is>
      </c>
      <c r="F59" s="4" t="inlineStr">
        <is>
          <t>Active liquidation</t>
        </is>
      </c>
    </row>
    <row r="60" ht="30" customHeight="1">
      <c r="A60" s="3" t="inlineStr">
        <is>
          <t>Forbearance Plan</t>
        </is>
      </c>
      <c r="B60" s="3" t="inlineStr">
        <is>
          <t>Unemployment: MANDATORY Before Flex Mod (Sec 9203.3)</t>
        </is>
      </c>
      <c r="C60" s="3" t="inlineStr">
        <is>
          <t>N/A - process requirement</t>
        </is>
      </c>
      <c r="D60" s="3" t="inlineStr">
        <is>
          <t>If unemployment hardship, forbearance MUST be offered first</t>
        </is>
      </c>
      <c r="E60" s="3" t="inlineStr">
        <is>
          <t>Forbearance offered first to unemployed borrowers</t>
        </is>
      </c>
      <c r="F60" s="3" t="inlineStr">
        <is>
          <t>NOTE: Servicer MUST offer forbearance before Flex Mod for unemployment hardship</t>
        </is>
      </c>
    </row>
    <row r="61" ht="30" customHeight="1">
      <c r="A61" s="4" t="inlineStr">
        <is>
          <t>Forbearance Plan</t>
        </is>
      </c>
      <c r="B61" s="4" t="inlineStr">
        <is>
          <t>Term (Bulletin 2026-2 change)</t>
        </is>
      </c>
      <c r="C61" s="4" t="inlineStr">
        <is>
          <t>N/A - output term</t>
        </is>
      </c>
      <c r="D61" s="4" t="inlineStr">
        <is>
          <t>1-3 month increments (reduced from 1-6 per Bulletin 2026-2 eff. May 1 2026)</t>
        </is>
      </c>
      <c r="E61" s="4" t="inlineStr">
        <is>
          <t>Initial term 1-3 months; extensions 1-3 months with FHLMC approval</t>
        </is>
      </c>
      <c r="F61" s="4" t="inlineStr">
        <is>
          <t>Maximum cumulative 12 months</t>
        </is>
      </c>
    </row>
    <row r="62" ht="18" customHeight="1">
      <c r="A62" s="5" t="inlineStr">
        <is>
          <t>FREDDIE MAC FLEX MODIFICATION - STANDARD (Sec 9206.1 / Sec 9206.6 / Bulletin 2024-E / Bulletin 2026-2)</t>
        </is>
      </c>
    </row>
    <row r="63" ht="30" customHeight="1">
      <c r="A63" s="3" t="inlineStr">
        <is>
          <t>Flex Mod (Standard)</t>
        </is>
      </c>
      <c r="B63" s="3" t="inlineStr">
        <is>
          <t>Non-Disaster Hardship</t>
        </is>
      </c>
      <c r="C63" s="3" t="inlineStr">
        <is>
          <t>hardshipType</t>
        </is>
      </c>
      <c r="D63" s="3" t="inlineStr">
        <is>
          <t>Not Disaster</t>
        </is>
      </c>
      <c r="E63" s="3" t="inlineStr">
        <is>
          <t>Non-disaster hardship</t>
        </is>
      </c>
      <c r="F63" s="3" t="inlineStr">
        <is>
          <t>Disaster -&gt; use Flex Mod (Disaster)</t>
        </is>
      </c>
    </row>
    <row r="64" ht="30" customHeight="1">
      <c r="A64" s="4" t="inlineStr">
        <is>
          <t>Flex Mod (Standard)</t>
        </is>
      </c>
      <c r="B64" s="4" t="inlineStr">
        <is>
          <t>Conventional Mortgage</t>
        </is>
      </c>
      <c r="C64" s="4" t="inlineStr">
        <is>
          <t>fhlmcMortgageType</t>
        </is>
      </c>
      <c r="D64" s="4">
        <f> Conventional</f>
        <v/>
      </c>
      <c r="E64" s="4" t="inlineStr">
        <is>
          <t>Conventional (not FHA/VA/RHS)</t>
        </is>
      </c>
      <c r="F64" s="4" t="inlineStr">
        <is>
          <t>FHA/VA/RHS -&gt; hard bar</t>
        </is>
      </c>
    </row>
    <row r="65" ht="30" customHeight="1">
      <c r="A65" s="3" t="inlineStr">
        <is>
          <t>Flex Mod (Standard)</t>
        </is>
      </c>
      <c r="B65" s="3" t="inlineStr">
        <is>
          <t>First Lien</t>
        </is>
      </c>
      <c r="C65" s="3" t="inlineStr">
        <is>
          <t>lienPosition</t>
        </is>
      </c>
      <c r="D65" s="3">
        <f> First</f>
        <v/>
      </c>
      <c r="E65" s="3" t="inlineStr">
        <is>
          <t>First lien position</t>
        </is>
      </c>
      <c r="F65" s="3" t="inlineStr">
        <is>
          <t>Junior lien</t>
        </is>
      </c>
    </row>
    <row r="66" ht="30" customHeight="1">
      <c r="A66" s="4" t="inlineStr">
        <is>
          <t>Flex Mod (Standard)</t>
        </is>
      </c>
      <c r="B66" s="4" t="inlineStr">
        <is>
          <t>No Recourse Arrangement</t>
        </is>
      </c>
      <c r="C66" s="4" t="inlineStr">
        <is>
          <t>fhlmcRecourse</t>
        </is>
      </c>
      <c r="D66" s="4">
        <f> FALSE</f>
        <v/>
      </c>
      <c r="E66" s="4" t="inlineStr">
        <is>
          <t>No recourse with FHLMC</t>
        </is>
      </c>
      <c r="F66" s="4" t="inlineStr">
        <is>
          <t>Recourse exists -&gt; hard bar to all Flex Mods</t>
        </is>
      </c>
    </row>
    <row r="67" ht="30" customHeight="1">
      <c r="A67" s="3" t="inlineStr">
        <is>
          <t>Flex Mod (Standard)</t>
        </is>
      </c>
      <c r="B67" s="3" t="inlineStr">
        <is>
          <t>Loan Age &gt;= 12 Months</t>
        </is>
      </c>
      <c r="C67" s="3" t="inlineStr">
        <is>
          <t>noteDate / noteFirstPaymentDate (auto) OR fhlmcLoanAge</t>
        </is>
      </c>
      <c r="D67" s="3" t="inlineStr">
        <is>
          <t>&gt;= 12 months</t>
        </is>
      </c>
      <c r="E67" s="3" t="inlineStr">
        <is>
          <t>Loan &gt;= 12 months old</t>
        </is>
      </c>
      <c r="F67" s="3" t="inlineStr">
        <is>
          <t>&lt; 12 months</t>
        </is>
      </c>
    </row>
    <row r="68" ht="30" customHeight="1">
      <c r="A68" s="4" t="inlineStr">
        <is>
          <t>Flex Mod (Standard)</t>
        </is>
      </c>
      <c r="B68" s="4" t="inlineStr">
        <is>
          <t>DLQ &gt;= 60 Days (2 months) OR Imminent Default</t>
        </is>
      </c>
      <c r="C68" s="4" t="inlineStr">
        <is>
          <t>delinquencyMonths &gt;= 2 OR fhlmcImminentDefaultAuto</t>
        </is>
      </c>
      <c r="D68" s="4" t="inlineStr">
        <is>
          <t>&gt;= 2 months DLQ OR both ID rules met</t>
        </is>
      </c>
      <c r="E68" s="4" t="inlineStr">
        <is>
          <t>60+ days DLQ OR imminent default determination</t>
        </is>
      </c>
      <c r="F68" s="4" t="inlineStr">
        <is>
          <t>&lt; 60 days DLQ and no imminent default</t>
        </is>
      </c>
    </row>
    <row r="69" ht="30" customHeight="1">
      <c r="A69" s="3" t="inlineStr">
        <is>
          <t>Flex Mod (Standard)</t>
        </is>
      </c>
      <c r="B69" s="3" t="inlineStr">
        <is>
          <t>Imminent Default Rule 1 (if ID path)</t>
        </is>
      </c>
      <c r="C69" s="3" t="inlineStr">
        <is>
          <t>fhlmcPropertyType = Primary Res AND fhlmcLongTermHardship AND cash &lt; $25k</t>
        </is>
      </c>
      <c r="D69" s="3" t="inlineStr">
        <is>
          <t>All three = TRUE</t>
        </is>
      </c>
      <c r="E69" s="3" t="inlineStr">
        <is>
          <t>Primary residence + long-term hardship + cash &lt; $25,000</t>
        </is>
      </c>
      <c r="F69" s="3" t="inlineStr">
        <is>
          <t>Any of the three fails -&gt; no ID path</t>
        </is>
      </c>
    </row>
    <row r="70" ht="30" customHeight="1">
      <c r="A70" s="4" t="inlineStr">
        <is>
          <t>Flex Mod (Standard)</t>
        </is>
      </c>
      <c r="B70" s="4" t="inlineStr">
        <is>
          <t>Imminent Default Rule 2 (if ID path)</t>
        </is>
      </c>
      <c r="C70" s="4" t="inlineStr">
        <is>
          <t>fhlmcFICO &lt;= 620 OR fhlmcPrior30DayDLQ6Mo OR housingRatio &gt; 40%</t>
        </is>
      </c>
      <c r="D70" s="4" t="inlineStr">
        <is>
          <t>At least one = TRUE</t>
        </is>
      </c>
      <c r="E70" s="4" t="inlineStr">
        <is>
          <t>FICO &lt;= 620 OR 30-day DLQ in last 6mo OR housing DTI &gt; 40%</t>
        </is>
      </c>
      <c r="F70" s="4" t="inlineStr">
        <is>
          <t>None of the three conditions met</t>
        </is>
      </c>
    </row>
    <row r="71" ht="30" customHeight="1">
      <c r="A71" s="3" t="inlineStr">
        <is>
          <t>Flex Mod (Standard)</t>
        </is>
      </c>
      <c r="B71" s="3" t="inlineStr">
        <is>
          <t>Long-Term or Permanent Hardship</t>
        </is>
      </c>
      <c r="C71" s="3" t="inlineStr">
        <is>
          <t>fhlmcLongTermHardship</t>
        </is>
      </c>
      <c r="D71" s="3">
        <f> TRUE (unemployment OK post-forbearance)</f>
        <v/>
      </c>
      <c r="E71" s="3" t="inlineStr">
        <is>
          <t>Long-term or permanent hardship confirmed</t>
        </is>
      </c>
      <c r="F71" s="3" t="inlineStr">
        <is>
          <t>Temporary/resolved hardship -&gt; use Repayment Plan or Deferral</t>
        </is>
      </c>
    </row>
    <row r="72" ht="30" customHeight="1">
      <c r="A72" s="4" t="inlineStr">
        <is>
          <t>Flex Mod (Standard)</t>
        </is>
      </c>
      <c r="B72" s="4" t="inlineStr">
        <is>
          <t>Verified Income (BRP Required)</t>
        </is>
      </c>
      <c r="C72" s="4" t="inlineStr">
        <is>
          <t>fhlmcVerifiedIncome</t>
        </is>
      </c>
      <c r="D72" s="4">
        <f> TRUE</f>
        <v/>
      </c>
      <c r="E72" s="4" t="inlineStr">
        <is>
          <t>Income verified via Borrower Response Package</t>
        </is>
      </c>
      <c r="F72" s="4" t="inlineStr">
        <is>
          <t>Income not verified -&gt; use Streamlined Flex Mod instead</t>
        </is>
      </c>
    </row>
    <row r="73" ht="30" customHeight="1">
      <c r="A73" s="3" t="inlineStr">
        <is>
          <t>Flex Mod (Standard)</t>
        </is>
      </c>
      <c r="B73" s="3" t="inlineStr">
        <is>
          <t>Investment Property Hard Stop (&lt; 60d DLQ)</t>
        </is>
      </c>
      <c r="C73" s="3" t="inlineStr">
        <is>
          <t>fhlmcPropertyType AND delinquencyMonths</t>
        </is>
      </c>
      <c r="D73" s="3" t="inlineStr">
        <is>
          <t>Investment property blocked if DLQ &lt; 2 months</t>
        </is>
      </c>
      <c r="E73" s="3" t="inlineStr">
        <is>
          <t>Investment property eligible if DLQ &gt;= 60d</t>
        </is>
      </c>
      <c r="F73" s="3" t="inlineStr">
        <is>
          <t>Investment property with DLQ &lt; 60d -&gt; hard stop</t>
        </is>
      </c>
    </row>
    <row r="74" ht="30" customHeight="1">
      <c r="A74" s="4" t="inlineStr">
        <is>
          <t>Flex Mod (Standard)</t>
        </is>
      </c>
      <c r="B74" s="4" t="inlineStr">
        <is>
          <t>QRPC Achieved (Sec 9206.1)</t>
        </is>
      </c>
      <c r="C74" s="4" t="inlineStr">
        <is>
          <t>fhlmcQRPCAchieved</t>
        </is>
      </c>
      <c r="D74" s="4">
        <f> TRUE</f>
        <v/>
      </c>
      <c r="E74" s="4" t="inlineStr">
        <is>
          <t>Qualified Right Party Contact achieved</t>
        </is>
      </c>
      <c r="F74" s="4" t="inlineStr">
        <is>
          <t>QRPC not achieved</t>
        </is>
      </c>
    </row>
    <row r="75" ht="30" customHeight="1">
      <c r="A75" s="3" t="inlineStr">
        <is>
          <t>Flex Mod (Standard)</t>
        </is>
      </c>
      <c r="B75" s="3" t="inlineStr">
        <is>
          <t>Prior Modifications &lt; 3</t>
        </is>
      </c>
      <c r="C75" s="3" t="inlineStr">
        <is>
          <t>fhlmcPriorModCount</t>
        </is>
      </c>
      <c r="D75" s="3" t="inlineStr">
        <is>
          <t>&lt; 3 lifetime mods</t>
        </is>
      </c>
      <c r="E75" s="3" t="inlineStr">
        <is>
          <t>0, 1, or 2 prior modifications</t>
        </is>
      </c>
      <c r="F75" s="3" t="inlineStr">
        <is>
          <t>&gt;= 3 prior mods</t>
        </is>
      </c>
    </row>
    <row r="76" ht="30" customHeight="1">
      <c r="A76" s="4" t="inlineStr">
        <is>
          <t>Flex Mod (Standard)</t>
        </is>
      </c>
      <c r="B76" s="4" t="inlineStr">
        <is>
          <t>No Failed Flex TPP Within 12 Months (Sec 9206.5)</t>
        </is>
      </c>
      <c r="C76" s="4" t="inlineStr">
        <is>
          <t>fhlmcFailedFlexTPP12Mo</t>
        </is>
      </c>
      <c r="D76" s="4">
        <f> FALSE</f>
        <v/>
      </c>
      <c r="E76" s="4" t="inlineStr">
        <is>
          <t>No servicer-cancelled (non-performing) TPP in last 12 months</t>
        </is>
      </c>
      <c r="F76" s="4" t="inlineStr">
        <is>
          <t>Failed TPP within 12 months. NOTE: Borrower-initiated withdrawal does NOT trigger this bar.</t>
        </is>
      </c>
    </row>
    <row r="77" ht="30" customHeight="1">
      <c r="A77" s="3" t="inlineStr">
        <is>
          <t>Flex Mod (Standard)</t>
        </is>
      </c>
      <c r="B77" s="3" t="inlineStr">
        <is>
          <t>No Prior Flex Mod Re-Default Within 12 Months</t>
        </is>
      </c>
      <c r="C77" s="3" t="inlineStr">
        <is>
          <t>fhlmcPriorFlexMod60DLQ</t>
        </is>
      </c>
      <c r="D77" s="3">
        <f> FALSE</f>
        <v/>
      </c>
      <c r="E77" s="3" t="inlineStr">
        <is>
          <t>No 60+ day re-default after last Flex Mod within 12 months</t>
        </is>
      </c>
      <c r="F77" s="3" t="inlineStr">
        <is>
          <t>Re-defaulted &gt;= 60 days within 12 months of last Flex Mod</t>
        </is>
      </c>
    </row>
    <row r="78" ht="30" customHeight="1">
      <c r="A78" s="4" t="inlineStr">
        <is>
          <t>Flex Mod (Standard)</t>
        </is>
      </c>
      <c r="B78" s="4" t="inlineStr">
        <is>
          <t>No Active Workout (TPP / Forbearance / Repayment Plan)</t>
        </is>
      </c>
      <c r="C78" s="4" t="inlineStr">
        <is>
          <t>fhlmcActiveTPP, fhlmcActiveForbearance, fhlmcActiveRepayPlan</t>
        </is>
      </c>
      <c r="D78" s="4" t="inlineStr">
        <is>
          <t>All = FALSE</t>
        </is>
      </c>
      <c r="E78" s="4" t="inlineStr">
        <is>
          <t>No active TPP, forbearance, or repayment plan</t>
        </is>
      </c>
      <c r="F78" s="4" t="inlineStr">
        <is>
          <t>Any active workout</t>
        </is>
      </c>
    </row>
    <row r="79" ht="30" customHeight="1">
      <c r="A79" s="3" t="inlineStr">
        <is>
          <t>Flex Mod (Standard)</t>
        </is>
      </c>
      <c r="B79" s="3" t="inlineStr">
        <is>
          <t>No Active Liquidation</t>
        </is>
      </c>
      <c r="C79" s="3" t="inlineStr">
        <is>
          <t>fhlmcApprovedLiquidationOption</t>
        </is>
      </c>
      <c r="D79" s="3">
        <f> FALSE</f>
        <v/>
      </c>
      <c r="E79" s="3" t="inlineStr">
        <is>
          <t>No active liquidation option</t>
        </is>
      </c>
      <c r="F79" s="3" t="inlineStr">
        <is>
          <t>Active liquidation</t>
        </is>
      </c>
    </row>
    <row r="80" ht="30" customHeight="1">
      <c r="A80" s="4" t="inlineStr">
        <is>
          <t>Flex Mod (Standard)</t>
        </is>
      </c>
      <c r="B80" s="4" t="inlineStr">
        <is>
          <t>No Unexpired Offer</t>
        </is>
      </c>
      <c r="C80" s="4" t="inlineStr">
        <is>
          <t>fhlmcUnexpiredOffer</t>
        </is>
      </c>
      <c r="D80" s="4">
        <f> FALSE</f>
        <v/>
      </c>
      <c r="E80" s="4" t="inlineStr">
        <is>
          <t>No competing unexpired workout offer</t>
        </is>
      </c>
      <c r="F80" s="4" t="inlineStr">
        <is>
          <t>Unexpired offer outstanding</t>
        </is>
      </c>
    </row>
    <row r="81" ht="18" customHeight="1">
      <c r="A81" s="5" t="inlineStr">
        <is>
          <t>FREDDIE MAC FLEX MODIFICATION - STREAMLINED (Sec 9206.7 / Bulletin 2024-E / Bulletin 2026-2)</t>
        </is>
      </c>
    </row>
    <row r="82" ht="30" customHeight="1">
      <c r="A82" s="3" t="inlineStr">
        <is>
          <t>Flex Mod (Streamlined)</t>
        </is>
      </c>
      <c r="B82" s="3" t="inlineStr">
        <is>
          <t>Non-Disaster Hardship</t>
        </is>
      </c>
      <c r="C82" s="3" t="inlineStr">
        <is>
          <t>hardshipType</t>
        </is>
      </c>
      <c r="D82" s="3" t="inlineStr">
        <is>
          <t>Not Disaster</t>
        </is>
      </c>
      <c r="E82" s="3" t="inlineStr">
        <is>
          <t>Non-disaster hardship</t>
        </is>
      </c>
      <c r="F82" s="3" t="inlineStr">
        <is>
          <t>Disaster -&gt; use Flex Mod (Disaster)</t>
        </is>
      </c>
    </row>
    <row r="83" ht="30" customHeight="1">
      <c r="A83" s="4" t="inlineStr">
        <is>
          <t>Flex Mod (Streamlined)</t>
        </is>
      </c>
      <c r="B83" s="4" t="inlineStr">
        <is>
          <t>Conventional Mortgage</t>
        </is>
      </c>
      <c r="C83" s="4" t="inlineStr">
        <is>
          <t>fhlmcMortgageType</t>
        </is>
      </c>
      <c r="D83" s="4">
        <f> Conventional</f>
        <v/>
      </c>
      <c r="E83" s="4" t="inlineStr">
        <is>
          <t>Conventional</t>
        </is>
      </c>
      <c r="F83" s="4" t="inlineStr">
        <is>
          <t>FHA/VA/RHS</t>
        </is>
      </c>
    </row>
    <row r="84" ht="30" customHeight="1">
      <c r="A84" s="3" t="inlineStr">
        <is>
          <t>Flex Mod (Streamlined)</t>
        </is>
      </c>
      <c r="B84" s="3" t="inlineStr">
        <is>
          <t>First Lien</t>
        </is>
      </c>
      <c r="C84" s="3" t="inlineStr">
        <is>
          <t>lienPosition</t>
        </is>
      </c>
      <c r="D84" s="3">
        <f> First</f>
        <v/>
      </c>
      <c r="E84" s="3" t="inlineStr">
        <is>
          <t>First lien</t>
        </is>
      </c>
      <c r="F84" s="3" t="inlineStr">
        <is>
          <t>Junior lien</t>
        </is>
      </c>
    </row>
    <row r="85" ht="30" customHeight="1">
      <c r="A85" s="4" t="inlineStr">
        <is>
          <t>Flex Mod (Streamlined)</t>
        </is>
      </c>
      <c r="B85" s="4" t="inlineStr">
        <is>
          <t>No Recourse Arrangement</t>
        </is>
      </c>
      <c r="C85" s="4" t="inlineStr">
        <is>
          <t>fhlmcRecourse</t>
        </is>
      </c>
      <c r="D85" s="4">
        <f> FALSE</f>
        <v/>
      </c>
      <c r="E85" s="4" t="inlineStr">
        <is>
          <t>No recourse</t>
        </is>
      </c>
      <c r="F85" s="4" t="inlineStr">
        <is>
          <t>Recourse -&gt; hard bar</t>
        </is>
      </c>
    </row>
    <row r="86" ht="30" customHeight="1">
      <c r="A86" s="3" t="inlineStr">
        <is>
          <t>Flex Mod (Streamlined)</t>
        </is>
      </c>
      <c r="B86" s="3" t="inlineStr">
        <is>
          <t>Loan Age &gt;= 12 Months</t>
        </is>
      </c>
      <c r="C86" s="3" t="inlineStr">
        <is>
          <t>noteDate / noteFirstPaymentDate (auto) OR fhlmcLoanAge</t>
        </is>
      </c>
      <c r="D86" s="3" t="inlineStr">
        <is>
          <t>&gt;= 12 months</t>
        </is>
      </c>
      <c r="E86" s="3" t="inlineStr">
        <is>
          <t>Loan &gt;= 12 months old</t>
        </is>
      </c>
      <c r="F86" s="3" t="inlineStr">
        <is>
          <t>&lt; 12 months</t>
        </is>
      </c>
    </row>
    <row r="87" ht="30" customHeight="1">
      <c r="A87" s="4" t="inlineStr">
        <is>
          <t>Flex Mod (Streamlined)</t>
        </is>
      </c>
      <c r="B87" s="4" t="inlineStr">
        <is>
          <t>DLQ &gt;= 90 Days (3 months) OR Step-Rate Special Case</t>
        </is>
      </c>
      <c r="C87" s="4" t="inlineStr">
        <is>
          <t>delinquencyMonths &gt;= 3 OR (fhlmcStepRateMortgage AND DLQ &gt;= 2mo AND rate adjusted within 12mo)</t>
        </is>
      </c>
      <c r="D87" s="4" t="inlineStr">
        <is>
          <t>&gt;= 3 months OR step-rate &gt;= 2mo within 12mo of adjustment</t>
        </is>
      </c>
      <c r="E87" s="4" t="inlineStr">
        <is>
          <t>&gt;= 90 days DLQ (stricter than Standard's 60 days)</t>
        </is>
      </c>
      <c r="F87" s="4" t="inlineStr">
        <is>
          <t>DLQ &lt; 90d without step-rate exception -&gt; must use Standard Flex Mod with BRP</t>
        </is>
      </c>
    </row>
    <row r="88" ht="30" customHeight="1">
      <c r="A88" s="3" t="inlineStr">
        <is>
          <t>Flex Mod (Streamlined)</t>
        </is>
      </c>
      <c r="B88" s="3" t="inlineStr">
        <is>
          <t>Solicitation Letter Sent During 90-105 DLQ Window (Sec 9206.7)</t>
        </is>
      </c>
      <c r="C88" s="3" t="inlineStr">
        <is>
          <t>fhlmcStreamlinedSolicitation</t>
        </is>
      </c>
      <c r="D88" s="3">
        <f> TRUE</f>
        <v/>
      </c>
      <c r="E88" s="3" t="inlineStr">
        <is>
          <t>Servicer sent solicitation letter when borrower was 90-105 days DLQ</t>
        </is>
      </c>
      <c r="F88" s="3" t="inlineStr">
        <is>
          <t>Solicitation letter not sent -&gt; must use Standard Flex Mod instead</t>
        </is>
      </c>
    </row>
    <row r="89" ht="30" customHeight="1">
      <c r="A89" s="4" t="inlineStr">
        <is>
          <t>Flex Mod (Streamlined)</t>
        </is>
      </c>
      <c r="B89" s="4" t="inlineStr">
        <is>
          <t>Prior Modifications &lt; 3</t>
        </is>
      </c>
      <c r="C89" s="4" t="inlineStr">
        <is>
          <t>fhlmcPriorModCount</t>
        </is>
      </c>
      <c r="D89" s="4" t="inlineStr">
        <is>
          <t>&lt; 3</t>
        </is>
      </c>
      <c r="E89" s="4" t="inlineStr">
        <is>
          <t>0-2 prior mods</t>
        </is>
      </c>
      <c r="F89" s="4" t="inlineStr">
        <is>
          <t>&gt;= 3 prior mods</t>
        </is>
      </c>
    </row>
    <row r="90" ht="30" customHeight="1">
      <c r="A90" s="3" t="inlineStr">
        <is>
          <t>Flex Mod (Streamlined)</t>
        </is>
      </c>
      <c r="B90" s="3" t="inlineStr">
        <is>
          <t>No Failed Flex TPP Within 12 Months</t>
        </is>
      </c>
      <c r="C90" s="3" t="inlineStr">
        <is>
          <t>fhlmcFailedFlexTPP12Mo</t>
        </is>
      </c>
      <c r="D90" s="3">
        <f> FALSE</f>
        <v/>
      </c>
      <c r="E90" s="3" t="inlineStr">
        <is>
          <t>No failed TPP in last 12 months</t>
        </is>
      </c>
      <c r="F90" s="3" t="inlineStr">
        <is>
          <t>Failed TPP within 12 months</t>
        </is>
      </c>
    </row>
    <row r="91" ht="30" customHeight="1">
      <c r="A91" s="4" t="inlineStr">
        <is>
          <t>Flex Mod (Streamlined)</t>
        </is>
      </c>
      <c r="B91" s="4" t="inlineStr">
        <is>
          <t>No Prior Flex Mod Re-Default Within 12 Months</t>
        </is>
      </c>
      <c r="C91" s="4" t="inlineStr">
        <is>
          <t>fhlmcPriorFlexMod60DLQ</t>
        </is>
      </c>
      <c r="D91" s="4">
        <f> FALSE</f>
        <v/>
      </c>
      <c r="E91" s="4" t="inlineStr">
        <is>
          <t>No 60+ day re-default after last Flex Mod</t>
        </is>
      </c>
      <c r="F91" s="4" t="inlineStr">
        <is>
          <t>Re-defaulted within 12 months</t>
        </is>
      </c>
    </row>
    <row r="92" ht="30" customHeight="1">
      <c r="A92" s="3" t="inlineStr">
        <is>
          <t>Flex Mod (Streamlined)</t>
        </is>
      </c>
      <c r="B92" s="3" t="inlineStr">
        <is>
          <t>No Active Workout</t>
        </is>
      </c>
      <c r="C92" s="3" t="inlineStr">
        <is>
          <t>fhlmcActiveTPP, fhlmcActiveForbearance, fhlmcActiveRepayPlan</t>
        </is>
      </c>
      <c r="D92" s="3" t="inlineStr">
        <is>
          <t>All = FALSE</t>
        </is>
      </c>
      <c r="E92" s="3" t="inlineStr">
        <is>
          <t>No active TPP/forbearance/repayment plan</t>
        </is>
      </c>
      <c r="F92" s="3" t="inlineStr">
        <is>
          <t>Active workout</t>
        </is>
      </c>
    </row>
    <row r="93" ht="30" customHeight="1">
      <c r="A93" s="4" t="inlineStr">
        <is>
          <t>Flex Mod (Streamlined)</t>
        </is>
      </c>
      <c r="B93" s="4" t="inlineStr">
        <is>
          <t>No Active Liquidation</t>
        </is>
      </c>
      <c r="C93" s="4" t="inlineStr">
        <is>
          <t>fhlmcApprovedLiquidationOption</t>
        </is>
      </c>
      <c r="D93" s="4">
        <f> FALSE</f>
        <v/>
      </c>
      <c r="E93" s="4" t="inlineStr">
        <is>
          <t>No active liquidation</t>
        </is>
      </c>
      <c r="F93" s="4" t="inlineStr">
        <is>
          <t>Active liquidation</t>
        </is>
      </c>
    </row>
    <row r="94" ht="30" customHeight="1">
      <c r="A94" s="3" t="inlineStr">
        <is>
          <t>Flex Mod (Streamlined)</t>
        </is>
      </c>
      <c r="B94" s="3" t="inlineStr">
        <is>
          <t>No Unexpired Offer</t>
        </is>
      </c>
      <c r="C94" s="3" t="inlineStr">
        <is>
          <t>fhlmcUnexpiredOffer</t>
        </is>
      </c>
      <c r="D94" s="3">
        <f> FALSE</f>
        <v/>
      </c>
      <c r="E94" s="3" t="inlineStr">
        <is>
          <t>No competing offer</t>
        </is>
      </c>
      <c r="F94" s="3" t="inlineStr">
        <is>
          <t>Unexpired offer</t>
        </is>
      </c>
    </row>
    <row r="95" ht="30" customHeight="1">
      <c r="A95" s="4" t="inlineStr">
        <is>
          <t>Flex Mod (Streamlined)</t>
        </is>
      </c>
      <c r="B95" s="4" t="inlineStr">
        <is>
          <t>NO BRP / Income Verification Required</t>
        </is>
      </c>
      <c r="C95" s="4" t="inlineStr">
        <is>
          <t>N/A</t>
        </is>
      </c>
      <c r="D95" s="4" t="inlineStr">
        <is>
          <t>No documentation required</t>
        </is>
      </c>
      <c r="E95" s="4" t="inlineStr">
        <is>
          <t>No hardship docs, income verification, QRPC, or long-term hardship check</t>
        </is>
      </c>
      <c r="F95" s="4" t="inlineStr">
        <is>
          <t>KEY DIFFERENCE from Standard Flex Mod</t>
        </is>
      </c>
    </row>
    <row r="96" ht="18" customHeight="1">
      <c r="A96" s="5" t="inlineStr">
        <is>
          <t>FREDDIE MAC FLEX MODIFICATION - DISASTER (Sec 9206.1(c)(v) / Bulletin 2026-2 eff. Feb 11 2026)</t>
        </is>
      </c>
    </row>
    <row r="97" ht="30" customHeight="1">
      <c r="A97" s="3" t="inlineStr">
        <is>
          <t>Flex Mod (Disaster)</t>
        </is>
      </c>
      <c r="B97" s="3" t="inlineStr">
        <is>
          <t>Disaster-Related Hardship</t>
        </is>
      </c>
      <c r="C97" s="3" t="inlineStr">
        <is>
          <t>fhlmcDisasterHardship</t>
        </is>
      </c>
      <c r="D97" s="3">
        <f> TRUE</f>
        <v/>
      </c>
      <c r="E97" s="3" t="inlineStr">
        <is>
          <t>Disaster hardship confirmed</t>
        </is>
      </c>
      <c r="F97" s="3" t="inlineStr">
        <is>
          <t>Non-disaster -&gt; use Standard or Streamlined Flex Mod</t>
        </is>
      </c>
    </row>
    <row r="98" ht="30" customHeight="1">
      <c r="A98" s="4" t="inlineStr">
        <is>
          <t>Flex Mod (Disaster)</t>
        </is>
      </c>
      <c r="B98" s="4" t="inlineStr">
        <is>
          <t>FEMA-Designated Event</t>
        </is>
      </c>
      <c r="C98" s="4" t="inlineStr">
        <is>
          <t>fhlmcFEMADesignation</t>
        </is>
      </c>
      <c r="D98" s="4">
        <f> TRUE</f>
        <v/>
      </c>
      <c r="E98" s="4" t="inlineStr">
        <is>
          <t>Eligible FEMA-declared disaster</t>
        </is>
      </c>
      <c r="F98" s="4" t="inlineStr">
        <is>
          <t>Not FEMA-designated</t>
        </is>
      </c>
    </row>
    <row r="99" ht="30" customHeight="1">
      <c r="A99" s="3" t="inlineStr">
        <is>
          <t>Flex Mod (Disaster)</t>
        </is>
      </c>
      <c r="B99" s="3" t="inlineStr">
        <is>
          <t>Conventional Mortgage</t>
        </is>
      </c>
      <c r="C99" s="3" t="inlineStr">
        <is>
          <t>fhlmcMortgageType</t>
        </is>
      </c>
      <c r="D99" s="3">
        <f> Conventional</f>
        <v/>
      </c>
      <c r="E99" s="3" t="inlineStr">
        <is>
          <t>Conventional</t>
        </is>
      </c>
      <c r="F99" s="3" t="inlineStr">
        <is>
          <t>FHA/VA/RHS</t>
        </is>
      </c>
    </row>
    <row r="100" ht="30" customHeight="1">
      <c r="A100" s="4" t="inlineStr">
        <is>
          <t>Flex Mod (Disaster)</t>
        </is>
      </c>
      <c r="B100" s="4" t="inlineStr">
        <is>
          <t>First Lien</t>
        </is>
      </c>
      <c r="C100" s="4" t="inlineStr">
        <is>
          <t>lienPosition</t>
        </is>
      </c>
      <c r="D100" s="4">
        <f> First</f>
        <v/>
      </c>
      <c r="E100" s="4" t="inlineStr">
        <is>
          <t>First lien</t>
        </is>
      </c>
      <c r="F100" s="4" t="inlineStr">
        <is>
          <t>Junior lien</t>
        </is>
      </c>
    </row>
    <row r="101" ht="30" customHeight="1">
      <c r="A101" s="3" t="inlineStr">
        <is>
          <t>Flex Mod (Disaster)</t>
        </is>
      </c>
      <c r="B101" s="3" t="inlineStr">
        <is>
          <t>No Recourse Arrangement</t>
        </is>
      </c>
      <c r="C101" s="3" t="inlineStr">
        <is>
          <t>fhlmcRecourse</t>
        </is>
      </c>
      <c r="D101" s="3">
        <f> FALSE</f>
        <v/>
      </c>
      <c r="E101" s="3" t="inlineStr">
        <is>
          <t>No recourse</t>
        </is>
      </c>
      <c r="F101" s="3" t="inlineStr">
        <is>
          <t>Recourse -&gt; hard bar</t>
        </is>
      </c>
    </row>
    <row r="102" ht="30" customHeight="1">
      <c r="A102" s="4" t="inlineStr">
        <is>
          <t>Flex Mod (Disaster)</t>
        </is>
      </c>
      <c r="B102" s="4" t="inlineStr">
        <is>
          <t>DLQ &lt; 2 Months (&lt; 60 Days) at Time of Disaster (Bulletin 2026-2)</t>
        </is>
      </c>
      <c r="C102" s="4" t="inlineStr">
        <is>
          <t>fhlmcDLQAtDisaster</t>
        </is>
      </c>
      <c r="D102" s="4" t="inlineStr">
        <is>
          <t>&lt; 2 months at disaster</t>
        </is>
      </c>
      <c r="E102" s="4" t="inlineStr">
        <is>
          <t>Was current or &lt; 60 days DLQ when disaster was declared</t>
        </is>
      </c>
      <c r="F102" s="4" t="inlineStr">
        <is>
          <t>&gt;= 60 days DLQ at disaster -&gt; borrower was already in default before disaster</t>
        </is>
      </c>
    </row>
    <row r="103" ht="30" customHeight="1">
      <c r="A103" s="3" t="inlineStr">
        <is>
          <t>Flex Mod (Disaster)</t>
        </is>
      </c>
      <c r="B103" s="3" t="inlineStr">
        <is>
          <t>DLQ &gt;= 3 Months (&gt;= 90 Days) at Evaluation (Bulletin 2026-2)</t>
        </is>
      </c>
      <c r="C103" s="3" t="inlineStr">
        <is>
          <t>delinquencyMonths</t>
        </is>
      </c>
      <c r="D103" s="3" t="inlineStr">
        <is>
          <t>&gt;= 3 months at evaluation</t>
        </is>
      </c>
      <c r="E103" s="3" t="inlineStr">
        <is>
          <t>&gt;= 90 days DLQ currently - disaster caused significant delinquency</t>
        </is>
      </c>
      <c r="F103" s="3" t="inlineStr">
        <is>
          <t>&lt; 90 days DLQ at evaluation</t>
        </is>
      </c>
    </row>
    <row r="104" ht="30" customHeight="1">
      <c r="A104" s="4" t="inlineStr">
        <is>
          <t>Flex Mod (Disaster)</t>
        </is>
      </c>
      <c r="B104" s="4" t="inlineStr">
        <is>
          <t>No Active Liquidation</t>
        </is>
      </c>
      <c r="C104" s="4" t="inlineStr">
        <is>
          <t>fhlmcApprovedLiquidationOption</t>
        </is>
      </c>
      <c r="D104" s="4">
        <f> FALSE</f>
        <v/>
      </c>
      <c r="E104" s="4" t="inlineStr">
        <is>
          <t>No active liquidation</t>
        </is>
      </c>
      <c r="F104" s="4" t="inlineStr">
        <is>
          <t>Active liquidation</t>
        </is>
      </c>
    </row>
    <row r="105" ht="30" customHeight="1">
      <c r="A105" s="3" t="inlineStr">
        <is>
          <t>Flex Mod (Disaster)</t>
        </is>
      </c>
      <c r="B105" s="3" t="inlineStr">
        <is>
          <t>No Active Non-Disaster TPP or Repayment Plan</t>
        </is>
      </c>
      <c r="C105" s="3" t="inlineStr">
        <is>
          <t>fhlmcActiveTPP, fhlmcActiveRepayPlan</t>
        </is>
      </c>
      <c r="D105" s="3" t="inlineStr">
        <is>
          <t>Both = FALSE</t>
        </is>
      </c>
      <c r="E105" s="3" t="inlineStr">
        <is>
          <t>No active non-disaster TPP or repayment plan. Active disaster forbearance is OK.</t>
        </is>
      </c>
      <c r="F105" s="3" t="inlineStr">
        <is>
          <t>Active non-disaster TPP or repayment plan</t>
        </is>
      </c>
    </row>
    <row r="106" ht="30" customHeight="1">
      <c r="A106" s="4" t="inlineStr">
        <is>
          <t>Flex Mod (Disaster)</t>
        </is>
      </c>
      <c r="B106" s="4" t="inlineStr">
        <is>
          <t>No Unexpired Non-Disaster Offer</t>
        </is>
      </c>
      <c r="C106" s="4" t="inlineStr">
        <is>
          <t>fhlmcUnexpiredOffer</t>
        </is>
      </c>
      <c r="D106" s="4">
        <f> FALSE</f>
        <v/>
      </c>
      <c r="E106" s="4" t="inlineStr">
        <is>
          <t>No competing non-disaster offer</t>
        </is>
      </c>
      <c r="F106" s="4" t="inlineStr">
        <is>
          <t>Unexpired non-disaster offer</t>
        </is>
      </c>
    </row>
    <row r="107" ht="30" customHeight="1">
      <c r="A107" s="3" t="inlineStr">
        <is>
          <t>Flex Mod (Disaster)</t>
        </is>
      </c>
      <c r="B107" s="3" t="inlineStr">
        <is>
          <t>NO Prior Mod Count Cap</t>
        </is>
      </c>
      <c r="C107" s="3" t="inlineStr">
        <is>
          <t>N/A</t>
        </is>
      </c>
      <c r="D107" s="3" t="inlineStr">
        <is>
          <t>No limit on prior modifications</t>
        </is>
      </c>
      <c r="E107" s="3" t="inlineStr">
        <is>
          <t>Unlimited prior mods eligible for disaster path</t>
        </is>
      </c>
      <c r="F107" s="3" t="inlineStr">
        <is>
          <t>KEY DIFFERENCE: No 3-mod lifetime cap for disaster</t>
        </is>
      </c>
    </row>
    <row r="108" ht="30" customHeight="1">
      <c r="A108" s="4" t="inlineStr">
        <is>
          <t>Flex Mod (Disaster)</t>
        </is>
      </c>
      <c r="B108" s="4" t="inlineStr">
        <is>
          <t>NO BRP / Income Verification</t>
        </is>
      </c>
      <c r="C108" s="4" t="inlineStr">
        <is>
          <t>N/A</t>
        </is>
      </c>
      <c r="D108" s="4" t="inlineStr">
        <is>
          <t>No documentation required</t>
        </is>
      </c>
      <c r="E108" s="4" t="inlineStr">
        <is>
          <t>No BRP, income docs, QRPC, or hardship verification needed</t>
        </is>
      </c>
      <c r="F108" s="4" t="inlineStr">
        <is>
          <t>KEY DIFFERENCE from Standard Flex Mod</t>
        </is>
      </c>
    </row>
    <row r="109" ht="18" customHeight="1">
      <c r="A109" s="5" t="inlineStr">
        <is>
          <t>DISPOSITION - FREDDIE MAC SHORT SALE &amp; DEED-IN-LIEU</t>
        </is>
      </c>
    </row>
    <row r="110" ht="30" customHeight="1">
      <c r="A110" s="3" t="inlineStr">
        <is>
          <t>Short Sale</t>
        </is>
      </c>
      <c r="B110" s="3" t="inlineStr">
        <is>
          <t>Borrower Intent = Disposition</t>
        </is>
      </c>
      <c r="C110" s="3" t="inlineStr">
        <is>
          <t>borrowerIntentRetention</t>
        </is>
      </c>
      <c r="D110" s="3">
        <f> FALSE</f>
        <v/>
      </c>
      <c r="E110" s="3" t="inlineStr">
        <is>
          <t>Borrower wants to sell</t>
        </is>
      </c>
      <c r="F110" s="3" t="inlineStr">
        <is>
          <t>Retention intent -&gt; use home retention options</t>
        </is>
      </c>
    </row>
    <row r="111" ht="30" customHeight="1">
      <c r="A111" s="4" t="inlineStr">
        <is>
          <t>Short Sale</t>
        </is>
      </c>
      <c r="B111" s="4" t="inlineStr">
        <is>
          <t>Eligible Hardship</t>
        </is>
      </c>
      <c r="C111" s="4" t="inlineStr">
        <is>
          <t>hardshipType</t>
        </is>
      </c>
      <c r="D111" s="4" t="inlineStr">
        <is>
          <t>Not = 'None'</t>
        </is>
      </c>
      <c r="E111" s="4" t="inlineStr">
        <is>
          <t>Any qualifying hardship type</t>
        </is>
      </c>
      <c r="F111" s="4" t="inlineStr">
        <is>
          <t>No qualifying hardship</t>
        </is>
      </c>
    </row>
    <row r="112" ht="30" customHeight="1">
      <c r="A112" s="3" t="inlineStr">
        <is>
          <t>Short Sale</t>
        </is>
      </c>
      <c r="B112" s="3" t="inlineStr">
        <is>
          <t>Conventional Mortgage</t>
        </is>
      </c>
      <c r="C112" s="3" t="inlineStr">
        <is>
          <t>fhlmcMortgageType</t>
        </is>
      </c>
      <c r="D112" s="3">
        <f> Conventional</f>
        <v/>
      </c>
      <c r="E112" s="3" t="inlineStr">
        <is>
          <t>Conventional mortgage</t>
        </is>
      </c>
      <c r="F112" s="3" t="inlineStr">
        <is>
          <t>FHA/VA/RHS</t>
        </is>
      </c>
    </row>
    <row r="113" ht="30" customHeight="1">
      <c r="A113" s="4" t="inlineStr">
        <is>
          <t>Short Sale</t>
        </is>
      </c>
      <c r="B113" s="4" t="inlineStr">
        <is>
          <t>Prior Home Retention Evaluation</t>
        </is>
      </c>
      <c r="C113" s="4" t="inlineStr">
        <is>
          <t>N/A - Bulletin 2026-2</t>
        </is>
      </c>
      <c r="D113" s="4" t="inlineStr">
        <is>
          <t>NO LONGER REQUIRED (Bulletin 2026-2 eff. Feb 11, 2026)</t>
        </is>
      </c>
      <c r="E113" s="4" t="inlineStr">
        <is>
          <t>Short sale can proceed without evaluating retention options first</t>
        </is>
      </c>
      <c r="F113" s="4" t="inlineStr">
        <is>
          <t>Prior requirement removed - streamlined path</t>
        </is>
      </c>
    </row>
    <row r="114" ht="30" customHeight="1">
      <c r="A114" s="3" t="inlineStr">
        <is>
          <t>Deed-in-Lieu</t>
        </is>
      </c>
      <c r="B114" s="3" t="inlineStr">
        <is>
          <t>Borrower Intent = Disposition</t>
        </is>
      </c>
      <c r="C114" s="3" t="inlineStr">
        <is>
          <t>borrowerIntentRetention</t>
        </is>
      </c>
      <c r="D114" s="3">
        <f> FALSE</f>
        <v/>
      </c>
      <c r="E114" s="3" t="inlineStr">
        <is>
          <t>Disposition intent confirmed</t>
        </is>
      </c>
      <c r="F114" s="3" t="inlineStr">
        <is>
          <t>Retention intent</t>
        </is>
      </c>
    </row>
    <row r="115" ht="30" customHeight="1">
      <c r="A115" s="4" t="inlineStr">
        <is>
          <t>Deed-in-Lieu</t>
        </is>
      </c>
      <c r="B115" s="4" t="inlineStr">
        <is>
          <t>Eligible Hardship</t>
        </is>
      </c>
      <c r="C115" s="4" t="inlineStr">
        <is>
          <t>hardshipType</t>
        </is>
      </c>
      <c r="D115" s="4" t="inlineStr">
        <is>
          <t>Not = 'None'</t>
        </is>
      </c>
      <c r="E115" s="4" t="inlineStr">
        <is>
          <t>Any qualifying hardship</t>
        </is>
      </c>
      <c r="F115" s="4" t="inlineStr">
        <is>
          <t>No qualifying hardship</t>
        </is>
      </c>
    </row>
    <row r="116" ht="30" customHeight="1">
      <c r="A116" s="3" t="inlineStr">
        <is>
          <t>Deed-in-Lieu</t>
        </is>
      </c>
      <c r="B116" s="3" t="inlineStr">
        <is>
          <t>Conventional Mortgage</t>
        </is>
      </c>
      <c r="C116" s="3" t="inlineStr">
        <is>
          <t>fhlmcMortgageType</t>
        </is>
      </c>
      <c r="D116" s="3">
        <f> Conventional</f>
        <v/>
      </c>
      <c r="E116" s="3" t="inlineStr">
        <is>
          <t>Conventional mortgage</t>
        </is>
      </c>
      <c r="F116" s="3" t="inlineStr">
        <is>
          <t>FHA/VA/RHS</t>
        </is>
      </c>
    </row>
    <row r="117" ht="30" customHeight="1">
      <c r="A117" s="4" t="inlineStr">
        <is>
          <t>Deed-in-Lieu</t>
        </is>
      </c>
      <c r="B117" s="4" t="inlineStr">
        <is>
          <t>Meets DIL Requirements</t>
        </is>
      </c>
      <c r="C117" s="4" t="inlineStr">
        <is>
          <t>meetsDILRequirements</t>
        </is>
      </c>
      <c r="D117" s="4">
        <f> TRUE</f>
        <v/>
      </c>
      <c r="E117" s="4" t="inlineStr">
        <is>
          <t>Clear title, property condition OK, borrower cooperation confirmed</t>
        </is>
      </c>
      <c r="F117" s="4" t="inlineStr">
        <is>
          <t>Requirements not met (clouded title, damaged property, etc.)</t>
        </is>
      </c>
    </row>
  </sheetData>
  <mergeCells count="12">
    <mergeCell ref="A54:F54"/>
    <mergeCell ref="A10:F10"/>
    <mergeCell ref="A42:F42"/>
    <mergeCell ref="A1:F1"/>
    <mergeCell ref="A31:F31"/>
    <mergeCell ref="A12:F12"/>
    <mergeCell ref="A18:F18"/>
    <mergeCell ref="A62:F62"/>
    <mergeCell ref="A3:F3"/>
    <mergeCell ref="A96:F96"/>
    <mergeCell ref="A109:F109"/>
    <mergeCell ref="A81:F8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30" customWidth="1" min="3" max="3"/>
    <col width="20" customWidth="1" min="4" max="4"/>
    <col width="26" customWidth="1" min="5" max="5"/>
    <col width="26" customWidth="1" min="6" max="6"/>
  </cols>
  <sheetData>
    <row r="1" ht="22" customHeight="1">
      <c r="A1" s="1" t="inlineStr">
        <is>
          <t>Freddie Mac - Key Calculations, Formulas &amp; Flex Mod Waterfall Steps</t>
        </is>
      </c>
    </row>
    <row r="2" ht="20" customHeight="1">
      <c r="A2" s="2" t="inlineStr">
        <is>
          <t>Calculation</t>
        </is>
      </c>
      <c r="B2" s="2" t="inlineStr">
        <is>
          <t>Formula</t>
        </is>
      </c>
      <c r="C2" s="2" t="inlineStr">
        <is>
          <t>Example</t>
        </is>
      </c>
      <c r="D2" s="2" t="inlineStr">
        <is>
          <t>Source</t>
        </is>
      </c>
      <c r="E2" s="2" t="inlineStr">
        <is>
          <t>Pass / Result</t>
        </is>
      </c>
      <c r="F2" s="2" t="inlineStr">
        <is>
          <t>Notes</t>
        </is>
      </c>
    </row>
    <row r="3" ht="36" customHeight="1">
      <c r="A3" s="3" t="inlineStr">
        <is>
          <t>Loan Age (auto)</t>
        </is>
      </c>
      <c r="B3" s="3" t="inlineStr">
        <is>
          <t>monthsBetween(noteDate OR noteFirstPaymentDate, approvalEffectiveDate OR today)</t>
        </is>
      </c>
      <c r="C3" s="3" t="inlineStr">
        <is>
          <t>Note: Jan 2024; Today: Mar 2026 = 26 months</t>
        </is>
      </c>
      <c r="D3" s="3" t="inlineStr">
        <is>
          <t>Sec 9203.23; Sec 9206.1</t>
        </is>
      </c>
      <c r="E3" s="3" t="inlineStr">
        <is>
          <t>&gt;= 12 months for deferral and flex mods</t>
        </is>
      </c>
      <c r="F3" s="3" t="inlineStr">
        <is>
          <t>Falls back to manual fhlmcLoanAge if dates not entered</t>
        </is>
      </c>
    </row>
    <row r="4" ht="36" customHeight="1">
      <c r="A4" s="4" t="inlineStr">
        <is>
          <t>Housing DTI (auto)</t>
        </is>
      </c>
      <c r="B4" s="4" t="inlineStr">
        <is>
          <t>currentPITI / grossMonthlyIncome * 100</t>
        </is>
      </c>
      <c r="C4" s="4" t="inlineStr">
        <is>
          <t>$1,600 / $4,000 * 100 = 40%</t>
        </is>
      </c>
      <c r="D4" s="4" t="inlineStr">
        <is>
          <t>Flex Mod Imminent Default</t>
        </is>
      </c>
      <c r="E4" s="4" t="inlineStr">
        <is>
          <t>&gt; 40% satisfies Imminent Default Rule 2</t>
        </is>
      </c>
      <c r="F4" s="4" t="inlineStr">
        <is>
          <t>Auto-computed if both fields entered; falls back to fhlmcHousingExpenseRatio</t>
        </is>
      </c>
    </row>
    <row r="5" ht="36" customHeight="1">
      <c r="A5" s="3" t="inlineStr">
        <is>
          <t>Cash Reserves &lt; $25k Check (Imminent Default Rule 1)</t>
        </is>
      </c>
      <c r="B5" s="3" t="inlineStr">
        <is>
          <t>cashReservesAmount &lt; 25000</t>
        </is>
      </c>
      <c r="C5" s="3" t="inlineStr">
        <is>
          <t>$18,000 &lt; $25,000 -&gt; PASS</t>
        </is>
      </c>
      <c r="D5" s="3" t="inlineStr">
        <is>
          <t>Flex Mod Imminent Default</t>
        </is>
      </c>
      <c r="E5" s="3" t="inlineStr">
        <is>
          <t>Cash &lt; $25,000 confirms Rule 1 liquidity constraint</t>
        </is>
      </c>
      <c r="F5" s="3" t="inlineStr">
        <is>
          <t>Auto-computed if cashReservesAmount entered; falls back to fhlmcCashReservesLt25k</t>
        </is>
      </c>
    </row>
    <row r="6" ht="36" customHeight="1">
      <c r="A6" s="4" t="inlineStr">
        <is>
          <t>Imminent Default Rule 1</t>
        </is>
      </c>
      <c r="B6" s="4" t="inlineStr">
        <is>
          <t>fhlmcPropertyType = Primary Res AND fhlmcLongTermHardship AND cash &lt; $25k</t>
        </is>
      </c>
      <c r="C6" s="4" t="inlineStr">
        <is>
          <t>Primary res=TRUE + LT hardship=TRUE + $18k &lt; $25k=TRUE -&gt; Rule 1 PASS</t>
        </is>
      </c>
      <c r="D6" s="4" t="inlineStr">
        <is>
          <t>FHLMC Imminent Default</t>
        </is>
      </c>
      <c r="E6" s="4" t="inlineStr">
        <is>
          <t>All three must be TRUE simultaneously</t>
        </is>
      </c>
      <c r="F6" s="4" t="inlineStr">
        <is>
          <t>FHLMC uses $25k cash threshold (vs FNMA's 3x PITI)</t>
        </is>
      </c>
    </row>
    <row r="7" ht="36" customHeight="1">
      <c r="A7" s="3" t="inlineStr">
        <is>
          <t>Imminent Default Rule 2</t>
        </is>
      </c>
      <c r="B7" s="3" t="inlineStr">
        <is>
          <t>fhlmcFICO &lt;= 620 OR fhlmcPrior30DayDLQ6Mo OR housingRatio &gt; 40%</t>
        </is>
      </c>
      <c r="C7" s="3" t="inlineStr">
        <is>
          <t>FICO=640, no prior DLQ, ratio=38% -&gt; all fail -&gt; Rule 2 FAIL</t>
        </is>
      </c>
      <c r="D7" s="3" t="inlineStr">
        <is>
          <t>FHLMC Imminent Default</t>
        </is>
      </c>
      <c r="E7" s="3" t="inlineStr">
        <is>
          <t>At least ONE condition TRUE</t>
        </is>
      </c>
      <c r="F7" s="3" t="inlineStr">
        <is>
          <t>FHLMC uses 40% housing ratio (vs FNMA's 55%)</t>
        </is>
      </c>
    </row>
    <row r="8" ht="36" customHeight="1">
      <c r="A8" s="4" t="inlineStr">
        <is>
          <t>Flex Mod Step 1: Re-amortize at Preliminary Rate</t>
        </is>
      </c>
      <c r="B8" s="4" t="inlineStr">
        <is>
          <t>calcMonthlyPI(newUPB, prelimRate, remainingTerm) where prelimRate = current note rate (fixed) OR min(current, fullyIndexed) (ARM)</t>
        </is>
      </c>
      <c r="C8" s="4" t="inlineStr">
        <is>
          <t>Fixed: PI($220k, 6.75%, 240mo) = $1,680; target = $1,500*0.80 = $1,200 -&gt; fails -&gt; try Step 3</t>
        </is>
      </c>
      <c r="D8" s="4" t="inlineStr">
        <is>
          <t>Sec 9206.6</t>
        </is>
      </c>
      <c r="E8" s="4" t="inlineStr">
        <is>
          <t>New P&amp;I &lt;= target (&gt; 20% reduction from pre-mod P&amp;I)</t>
        </is>
      </c>
      <c r="F8" s="4" t="inlineStr">
        <is>
          <t>First step: just re-amortize remaining term at current (or lower ARM) rate</t>
        </is>
      </c>
    </row>
    <row r="9" ht="36" customHeight="1">
      <c r="A9" s="3" t="inlineStr">
        <is>
          <t>Flex Mod Step 2: ARM to Fixed</t>
        </is>
      </c>
      <c r="B9" s="3" t="inlineStr">
        <is>
          <t>If ARM: fix at preliminary rate (already done in Step 1 via min calc)</t>
        </is>
      </c>
      <c r="C9" s="3" t="inlineStr">
        <is>
          <t>Fully-indexed = index + margin rounded to nearest 0.125%</t>
        </is>
      </c>
      <c r="D9" s="3" t="inlineStr">
        <is>
          <t>Sec 9206.6</t>
        </is>
      </c>
      <c r="E9" s="3" t="inlineStr">
        <is>
          <t>Rate locked in as fixed for remaining term</t>
        </is>
      </c>
      <c r="F9" s="3" t="inlineStr">
        <is>
          <t>Step 2 is embedded in Step 1 for ARM loans</t>
        </is>
      </c>
    </row>
    <row r="10" ht="36" customHeight="1">
      <c r="A10" s="4" t="inlineStr">
        <is>
          <t>Flex Mod Step 3: Interest Rate Relief (MTMLTV &gt;= 50%)</t>
        </is>
      </c>
      <c r="B10" s="4" t="inlineStr">
        <is>
          <t>If MTMLTV &gt;= 50%: reduce rate to FHLMC floor rate; recalculate PI(newUPB, floorRate, remainingTerm)</t>
        </is>
      </c>
      <c r="C10" s="4" t="inlineStr">
        <is>
          <t>Rate reduced from 6.75% to 5.5% floor; PI($220k, 5.5%, 240mo) = $1,510 -&gt; still &gt; $1,200 -&gt; try Step 4</t>
        </is>
      </c>
      <c r="D10" s="4" t="inlineStr">
        <is>
          <t>Sec 9206.6; Bulletin 2024-E</t>
        </is>
      </c>
      <c r="E10" s="4" t="inlineStr">
        <is>
          <t>MTMLTV &gt;= 50% gates this step; new P&amp;I &lt;= target</t>
        </is>
      </c>
      <c r="F10" s="4" t="inlineStr">
        <is>
          <t>If MTMLTV &lt; 50% or unknown: skip Step 3 and go to Step 4</t>
        </is>
      </c>
    </row>
    <row r="11" ht="36" customHeight="1">
      <c r="A11" s="3" t="inlineStr">
        <is>
          <t>Flex Mod Step 4: Extend Term to 480 Months</t>
        </is>
      </c>
      <c r="B11" s="3" t="inlineStr">
        <is>
          <t>calcMonthlyPI(newUPB, rateAtFloor, 480) where 480-month term from modification effective date</t>
        </is>
      </c>
      <c r="C11" s="3" t="inlineStr">
        <is>
          <t>PI($220k, 5.5%, 480mo) = $1,182 &lt;= $1,200 -&gt; PASS -&gt; use Step 4 terms</t>
        </is>
      </c>
      <c r="D11" s="3" t="inlineStr">
        <is>
          <t>Sec 9206.6</t>
        </is>
      </c>
      <c r="E11" s="3" t="inlineStr">
        <is>
          <t>New P&amp;I &lt;= target at 480-month term</t>
        </is>
      </c>
      <c r="F11" s="3" t="inlineStr">
        <is>
          <t>Most common step used; rate from Step 3 (if available) or preliminary rate</t>
        </is>
      </c>
    </row>
    <row r="12" ht="36" customHeight="1">
      <c r="A12" s="4" t="inlineStr">
        <is>
          <t>Flex Mod Step 5: Principal Forbearance (MTMLTV &gt; 50%)</t>
        </is>
      </c>
      <c r="B12" s="4" t="inlineStr">
        <is>
          <t>If Step 4 fails: forbear principal up to 30% of post-cap UPB; targetPrincipal = target/r_factor; forbearAmount = min(newUPB - targetPrincipal, newUPB*0.30); PI(newUPB-forbearAmount, rate, 480)</t>
        </is>
      </c>
      <c r="C12" s="4" t="inlineStr">
        <is>
          <t>PI($220k, 5.5%, 480) = $1,300 &gt; $1,200; forbear = $220k - targetPrincipal; max forbear = $220k*30% = $66k</t>
        </is>
      </c>
      <c r="D12" s="4" t="inlineStr">
        <is>
          <t>Sec 9206.6; Bulletin 2024-E</t>
        </is>
      </c>
      <c r="E12" s="4" t="inlineStr">
        <is>
          <t>MTMLTV &gt; 50% gates this step; new P&amp;I &lt;= target after forbearance</t>
        </is>
      </c>
      <c r="F12" s="4" t="inlineStr">
        <is>
          <t>Maximum 30% of post-capitalization UPB; non-interest-bearing, due at payoff/sale</t>
        </is>
      </c>
    </row>
    <row r="13" ht="36" customHeight="1">
      <c r="A13" s="3" t="inlineStr">
        <is>
          <t>Target P&amp;I (&gt; 20% Reduction)</t>
        </is>
      </c>
      <c r="B13" s="3" t="inlineStr">
        <is>
          <t>currentPI * 0.799 (just under 80% = just over 20% reduction)</t>
        </is>
      </c>
      <c r="C13" s="3" t="inlineStr">
        <is>
          <t>$1,500 * 0.799 = $1,199 (target)</t>
        </is>
      </c>
      <c r="D13" s="3" t="inlineStr">
        <is>
          <t>Sec 9206.6</t>
        </is>
      </c>
      <c r="E13" s="3" t="inlineStr">
        <is>
          <t>New P&amp;I must be &lt;= target (&gt; 20% reduction from pre-mod P&amp;I)</t>
        </is>
      </c>
      <c r="F13" s="3" t="inlineStr">
        <is>
          <t>Goal is &gt; 20% reduction; if impossible even at Step 5, offer if P&amp;I &lt;= pre-mod</t>
        </is>
      </c>
    </row>
    <row r="14" ht="36" customHeight="1">
      <c r="A14" s="4" t="inlineStr">
        <is>
          <t>MTMLTV (Mark-to-Market LTV)</t>
        </is>
      </c>
      <c r="B14" s="4" t="inlineStr">
        <is>
          <t>(post-capitalization UPB / property value) * 100; post-cap UPB = current UPB + arrears + legal fees + prior deferred balance</t>
        </is>
      </c>
      <c r="C14" s="4" t="inlineStr">
        <is>
          <t>($220k + $10k + $2k + $5k) / $300k * 100 = 79%</t>
        </is>
      </c>
      <c r="D14" s="4" t="inlineStr">
        <is>
          <t>Bulletin 2024-E</t>
        </is>
      </c>
      <c r="E14" s="4" t="inlineStr">
        <is>
          <t>&gt;= 50%: enables rate relief (Step 3); &gt; 50%: enables principal forbearance (Step 5)</t>
        </is>
      </c>
      <c r="F14" s="4" t="inlineStr">
        <is>
          <t>If property value not entered, Steps 3 and 5 are assumed available (conservative)</t>
        </is>
      </c>
    </row>
    <row r="15" ht="36" customHeight="1">
      <c r="A15" s="3" t="inlineStr">
        <is>
          <t>New UPB (capitalization)</t>
        </is>
      </c>
      <c r="B15" s="3" t="inlineStr">
        <is>
          <t>current UPB + arrearagesToCapitalize + legal/foreclosure fees (NOT escrow shortage; NOT late fees)</t>
        </is>
      </c>
      <c r="C15" s="3" t="inlineStr">
        <is>
          <t>$200,000 + $8,000 + $2,000 = $210,000 (escrow shortage spread over 60 months separately)</t>
        </is>
      </c>
      <c r="D15" s="3" t="inlineStr">
        <is>
          <t>Sec 9206.6</t>
        </is>
      </c>
      <c r="E15" s="3" t="inlineStr">
        <is>
          <t>Used in all Flex Mod payment calculations</t>
        </is>
      </c>
      <c r="F15" s="3" t="inlineStr">
        <is>
          <t>Escrow shortage NOT capitalized - spread over 60 months minimum</t>
        </is>
      </c>
    </row>
    <row r="16" ht="36" customHeight="1">
      <c r="A16" s="4" t="inlineStr">
        <is>
          <t>ARM Fully-Indexed Rate</t>
        </is>
      </c>
      <c r="B16" s="4" t="inlineStr">
        <is>
          <t>Math.round((index + margin) / 0.125) * 0.125</t>
        </is>
      </c>
      <c r="C16" s="4" t="inlineStr">
        <is>
          <t>(2.75% SOFR + 2.50% margin) = 5.25% -&gt; round(5.25/0.125)*0.125 = 5.25%</t>
        </is>
      </c>
      <c r="D16" s="4" t="inlineStr">
        <is>
          <t>Sec 9206.6</t>
        </is>
      </c>
      <c r="E16" s="4" t="inlineStr">
        <is>
          <t>Used in Step 1 for ARM loans: min(current note rate, fully-indexed rate)</t>
        </is>
      </c>
      <c r="F16" s="4" t="inlineStr">
        <is>
          <t>Rounded to nearest 0.125% for ARM preliminary rate</t>
        </is>
      </c>
    </row>
    <row r="17" ht="36" customHeight="1">
      <c r="A17" s="3" t="inlineStr">
        <is>
          <t>480-Month Maturity Date</t>
        </is>
      </c>
      <c r="B17" s="3" t="inlineStr">
        <is>
          <t>addMonths(modificationEffectiveDate, 480)</t>
        </is>
      </c>
      <c r="C17" s="3" t="inlineStr">
        <is>
          <t>Eff: Jan 2026 + 480mo = Jan 2066</t>
        </is>
      </c>
      <c r="D17" s="3" t="inlineStr">
        <is>
          <t>Sec 9206.6</t>
        </is>
      </c>
      <c r="E17" s="3" t="inlineStr">
        <is>
          <t>New maturity date if Step 4 or Step 5 used</t>
        </is>
      </c>
      <c r="F17" s="3" t="inlineStr">
        <is>
          <t>Measured from modification effective date, not original note date</t>
        </is>
      </c>
    </row>
    <row r="18" ht="36" customHeight="1">
      <c r="A18" s="4" t="inlineStr">
        <is>
          <t>Deferral Amount (Standard)</t>
        </is>
      </c>
      <c r="B18" s="4" t="inlineStr">
        <is>
          <t>min(delinquencyMonths, 6) months of P&amp;I deferred</t>
        </is>
      </c>
      <c r="C18" s="4" t="inlineStr">
        <is>
          <t>DLQ = 4 months -&gt; defer 4 months of P&amp;I</t>
        </is>
      </c>
      <c r="D18" s="4" t="inlineStr">
        <is>
          <t>Sec 9203.23</t>
        </is>
      </c>
      <c r="E18" s="4" t="inlineStr">
        <is>
          <t>Up to 6 months deferred; non-interest-bearing</t>
        </is>
      </c>
      <c r="F18" s="4" t="inlineStr">
        <is>
          <t>Maximum 6 months for standard deferral; 12 months for disaster deferral</t>
        </is>
      </c>
    </row>
    <row r="19" ht="36" customHeight="1">
      <c r="A19" s="3" t="inlineStr">
        <is>
          <t>Streamlined Deferral Amount</t>
        </is>
      </c>
      <c r="B19" s="3" t="inlineStr">
        <is>
          <t>min(dlqMonths + (effDate &gt; today ? 1 : 0), 12) months deferred</t>
        </is>
      </c>
      <c r="C19" s="3" t="inlineStr">
        <is>
          <t>DLQ = 8 months + 1 upcoming = min(9, 12) = 9 months deferred</t>
        </is>
      </c>
      <c r="D19" s="3" t="inlineStr">
        <is>
          <t>Sec 9203.4</t>
        </is>
      </c>
      <c r="E19" s="3" t="inlineStr">
        <is>
          <t>Up to 12 months deferred under streamlined</t>
        </is>
      </c>
      <c r="F19" s="3" t="inlineStr">
        <is>
          <t>Wider deferral amount than standard; capped at 12 months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6" customWidth="1" min="3" max="3"/>
    <col width="32" customWidth="1" min="4" max="4"/>
    <col width="32" customWidth="1" min="5" max="5"/>
  </cols>
  <sheetData>
    <row r="1" ht="22" customHeight="1">
      <c r="A1" s="1" t="inlineStr">
        <is>
          <t>Freddie Mac Loss Mitigation Waterfall - Evaluation Order (Bulletin 2026-2, eff. Feb 11 2026)</t>
        </is>
      </c>
    </row>
    <row r="2" ht="20" customHeight="1">
      <c r="A2" s="2" t="inlineStr">
        <is>
          <t>#</t>
        </is>
      </c>
      <c r="B2" s="2" t="inlineStr">
        <is>
          <t>Option</t>
        </is>
      </c>
      <c r="C2" s="2" t="inlineStr">
        <is>
          <t>Trigger Condition</t>
        </is>
      </c>
      <c r="D2" s="2" t="inlineStr">
        <is>
          <t>Proceed If (PASS)</t>
        </is>
      </c>
      <c r="E2" s="2" t="inlineStr">
        <is>
          <t>Skip to Next If (FAIL)</t>
        </is>
      </c>
    </row>
    <row r="3" ht="52" customHeight="1">
      <c r="A3" s="6" t="inlineStr">
        <is>
          <t>1</t>
        </is>
      </c>
      <c r="B3" s="7" t="inlineStr">
        <is>
          <t>FHLMC Reinstatement</t>
        </is>
      </c>
      <c r="C3" s="7" t="inlineStr">
        <is>
          <t>Any arrears or DLQ &gt; 0</t>
        </is>
      </c>
      <c r="D3" s="7" t="inlineStr">
        <is>
          <t>arrears &gt; 0 OR DLQ &gt; 0; borrower pays all past-due amounts in lump sum</t>
        </is>
      </c>
      <c r="E3" s="7" t="inlineStr">
        <is>
          <t>Cannot self-cure -&gt; proceed to Repayment Plan or Deferral</t>
        </is>
      </c>
    </row>
    <row r="4" ht="52" customHeight="1">
      <c r="A4" s="8" t="inlineStr">
        <is>
          <t>2</t>
        </is>
      </c>
      <c r="B4" s="9" t="inlineStr">
        <is>
          <t>FHLMC Repayment Plan</t>
        </is>
      </c>
      <c r="C4" s="9" t="inlineStr">
        <is>
          <t>Non-disaster; temporary hardship resolved; DLQ &lt;= 12mo; conv 1st lien</t>
        </is>
      </c>
      <c r="D4" s="9" t="inlineStr">
        <is>
          <t>Non-disaster; conventional 1st lien; DLQ &lt;= 12 months; hardship resolved; property OK</t>
        </is>
      </c>
      <c r="E4" s="9" t="inlineStr">
        <is>
          <t>Disaster; DLQ &gt; 12mo; unresolved hardship; non-conventional/non-1st lien</t>
        </is>
      </c>
    </row>
    <row r="5" ht="52" customHeight="1">
      <c r="A5" s="10" t="inlineStr">
        <is>
          <t>3</t>
        </is>
      </c>
      <c r="B5" s="11" t="inlineStr">
        <is>
          <t>FHLMC Payment Deferral (Standard)</t>
        </is>
      </c>
      <c r="C5" s="11" t="inlineStr">
        <is>
          <t>Non-disaster; DLQ 2-6mo; hardship resolved; can resume; QRPC achieved</t>
        </is>
      </c>
      <c r="D5" s="11" t="inlineStr">
        <is>
          <t>Non-disaster; conv 1st lien; loan &gt;= 12mo; DLQ 2-6mo; hardship resolved; can resume; cum. deferred &lt; 18mo; last deferral &gt;= 12mo ago; QRPC; no active blockers</t>
        </is>
      </c>
      <c r="E5" s="11" t="inlineStr">
        <is>
          <t>DLQ out of 2-6 range; cannot resume; cum. cap hit; no QRPC; active blockers</t>
        </is>
      </c>
    </row>
    <row r="6" ht="52" customHeight="1">
      <c r="A6" s="12" t="inlineStr">
        <is>
          <t>3b</t>
        </is>
      </c>
      <c r="B6" s="13" t="inlineStr">
        <is>
          <t>FHLMC Streamlined Payment Deferral</t>
        </is>
      </c>
      <c r="C6" s="13" t="inlineStr">
        <is>
          <t>Non-disaster; DLQ 2-24mo; FHLMC solicitation only; NO docs required</t>
        </is>
      </c>
      <c r="D6" s="13" t="inlineStr">
        <is>
          <t>Non-disaster; conv 1st lien; loan &gt;= 12mo; DLQ 2-24mo; cum. deferred &lt; 18mo; last deferral &gt;= 12mo ago; no active blockers. No hardship resolution, income verification, QRPC, or can-resume check required.</t>
        </is>
      </c>
      <c r="E6" s="13" t="inlineStr">
        <is>
          <t>DLQ out of 2-24 range; cum. cap hit; active blockers</t>
        </is>
      </c>
    </row>
    <row r="7" ht="52" customHeight="1">
      <c r="A7" s="14" t="inlineStr">
        <is>
          <t>4</t>
        </is>
      </c>
      <c r="B7" s="15" t="inlineStr">
        <is>
          <t>FHLMC Disaster Payment Deferral</t>
        </is>
      </c>
      <c r="C7" s="15" t="inlineStr">
        <is>
          <t>Disaster hardship; FEMA-designated; DLQ &lt; 2mo at disaster; DLQ 1-12mo now</t>
        </is>
      </c>
      <c r="D7" s="15" t="inlineStr">
        <is>
          <t>Disaster; FEMA; conv 1st lien; DLQ &lt; 2mo at disaster; current DLQ 1-12mo; hardship resolved; can resume; no active blockers. NO cumulative cap check.</t>
        </is>
      </c>
      <c r="E7" s="15" t="inlineStr">
        <is>
          <t>Non-disaster; no FEMA; DLQ &gt;= 2mo at disaster; hardship not resolved; active blockers</t>
        </is>
      </c>
    </row>
    <row r="8" ht="52" customHeight="1">
      <c r="A8" s="16" t="inlineStr">
        <is>
          <t>5</t>
        </is>
      </c>
      <c r="B8" s="17" t="inlineStr">
        <is>
          <t>FHLMC Forbearance Plan</t>
        </is>
      </c>
      <c r="C8" s="17" t="inlineStr">
        <is>
          <t>Non-disaster; primary residence; temporary/unemployment hardship; no liquidation</t>
        </is>
      </c>
      <c r="D8" s="17" t="inlineStr">
        <is>
          <t>Non-disaster; primary residence; temporary hardship OR unemployment; property OK; no liquidation. Unemployment: MUST be offered before Flex Mod (Sec 9203.3). Initial term 1-3 months (Bulletin 2026-2).</t>
        </is>
      </c>
      <c r="E8" s="17" t="inlineStr">
        <is>
          <t>Long-term hardship -&gt; Flex Mod; non-primary property; disaster; active liquidation</t>
        </is>
      </c>
    </row>
    <row r="9" ht="52" customHeight="1">
      <c r="A9" s="6" t="inlineStr">
        <is>
          <t>6</t>
        </is>
      </c>
      <c r="B9" s="7" t="inlineStr">
        <is>
          <t>Freddie Mac Flex Modification (Standard)</t>
        </is>
      </c>
      <c r="C9" s="7" t="inlineStr">
        <is>
          <t>Non-disaster; DLQ &gt;= 60d OR imminent default; long-term hardship; verified income (BRP); QRPC</t>
        </is>
      </c>
      <c r="D9" s="7" t="inlineStr">
        <is>
          <t>Non-disaster; conv; 1st lien; no recourse; loan &gt;= 12mo; DLQ &gt;= 60d OR ID; long-term hardship; BRP/income verified; QRPC; &lt; 3 prior mods; no failed TPP 12mo; no re-default 12mo; no active workout; no liquidation. Steps 1-5 payment reduction waterfall.</t>
        </is>
      </c>
      <c r="E9" s="7" t="inlineStr">
        <is>
          <t>DLQ &lt; 60d with no ID; short-term hardship; no income docs -&gt; Streamlined Flex Mod; 3+ prior mods; recourse</t>
        </is>
      </c>
    </row>
    <row r="10" ht="52" customHeight="1">
      <c r="A10" s="8" t="inlineStr">
        <is>
          <t>6b</t>
        </is>
      </c>
      <c r="B10" s="9" t="inlineStr">
        <is>
          <t>Freddie Mac Flex Modification (Streamlined)</t>
        </is>
      </c>
      <c r="C10" s="9" t="inlineStr">
        <is>
          <t>Non-disaster; DLQ &gt;= 90d OR step-rate &gt;= 60d; solicitation letter sent; NO BRP required</t>
        </is>
      </c>
      <c r="D10" s="9" t="inlineStr">
        <is>
          <t>Non-disaster; conv; 1st lien; no recourse; loan &gt;= 12mo; DLQ &gt;= 3mo (90d) OR step-rate special case; solicitation sent 90-105 DLQ; &lt; 3 prior mods; no failed TPP 12mo; no re-default 12mo; no active workout. No BRP, income docs, or QRPC required.</t>
        </is>
      </c>
      <c r="E10" s="9" t="inlineStr">
        <is>
          <t>DLQ &lt; 90d without step-rate; no solicitation; 3+ prior mods; active workout</t>
        </is>
      </c>
    </row>
    <row r="11" ht="52" customHeight="1">
      <c r="A11" s="14" t="inlineStr">
        <is>
          <t>7</t>
        </is>
      </c>
      <c r="B11" s="15" t="inlineStr">
        <is>
          <t>Freddie Mac Flex Modification (Disaster)</t>
        </is>
      </c>
      <c r="C11" s="15" t="inlineStr">
        <is>
          <t>Disaster hardship; FEMA; DLQ &lt; 60d at disaster; DLQ &gt;= 90d at evaluation; no recourse (Bulletin 2026-2)</t>
        </is>
      </c>
      <c r="D11" s="15" t="inlineStr">
        <is>
          <t>Disaster; FEMA-designated; conv; 1st lien; no recourse; DLQ &lt; 2mo (&lt; 60d) at disaster AND current DLQ &gt;= 3mo (&gt;= 90d); no active non-disaster TPP/repayment plan. NO prior mod cap, NO BRP, NO investment property hard stop.</t>
        </is>
      </c>
      <c r="E11" s="15" t="inlineStr">
        <is>
          <t>Non-disaster; no FEMA; DLQ &gt;= 60d at disaster; current DLQ &lt; 90d; recourse; active non-disaster workout</t>
        </is>
      </c>
    </row>
    <row r="12" ht="52" customHeight="1">
      <c r="A12" s="16" t="inlineStr">
        <is>
          <t>8</t>
        </is>
      </c>
      <c r="B12" s="17" t="inlineStr">
        <is>
          <t>Freddie Mac Short Sale</t>
        </is>
      </c>
      <c r="C12" s="17" t="inlineStr">
        <is>
          <t>Long-term hardship; disposition intent; conventional</t>
        </is>
      </c>
      <c r="D12" s="17" t="inlineStr">
        <is>
          <t>Borrower intent = disposition; any qualifying hardship; conventional. Prior home retention evaluation NO LONGER required (Bulletin 2026-2). Servicer incentive: $2,200.</t>
        </is>
      </c>
      <c r="E12" s="17" t="inlineStr">
        <is>
          <t>Retention intent; no hardship; non-conventional</t>
        </is>
      </c>
    </row>
    <row r="13" ht="52" customHeight="1">
      <c r="A13" s="18" t="inlineStr">
        <is>
          <t>9</t>
        </is>
      </c>
      <c r="B13" s="19" t="inlineStr">
        <is>
          <t>Freddie Mac Deed-in-Lieu</t>
        </is>
      </c>
      <c r="C13" s="19" t="inlineStr">
        <is>
          <t>Disposition intent; conventional; meets DIL requirements</t>
        </is>
      </c>
      <c r="D13" s="19" t="inlineStr">
        <is>
          <t>Borrower intent = disposition; any qualifying hardship; conventional; meets DIL requirements (clear title, property condition, borrower cooperation). Servicer incentive: $1,500.</t>
        </is>
      </c>
      <c r="E13" s="19" t="inlineStr">
        <is>
          <t>Retention intent; non-conventional; DIL requirements not met</t>
        </is>
      </c>
    </row>
    <row r="15" ht="18" customHeight="1">
      <c r="A15" s="5" t="inlineStr">
        <is>
          <t>KEY FHLMC THRESHOLDS &amp; CONSTANTS (Bulletin 2026-2 eff. Feb 11, 2026)</t>
        </is>
      </c>
    </row>
    <row r="16" ht="20" customHeight="1">
      <c r="A16" s="2" t="inlineStr">
        <is>
          <t>Threshold</t>
        </is>
      </c>
      <c r="B16" s="2" t="inlineStr">
        <is>
          <t>Value</t>
        </is>
      </c>
      <c r="C16" s="2" t="inlineStr">
        <is>
          <t>Applied To</t>
        </is>
      </c>
      <c r="D16" s="2" t="inlineStr">
        <is>
          <t>Regulatory Basis</t>
        </is>
      </c>
      <c r="E16" s="2" t="inlineStr">
        <is>
          <t>Notes</t>
        </is>
      </c>
    </row>
    <row r="17" ht="28" customHeight="1">
      <c r="A17" s="3" t="inlineStr">
        <is>
          <t>Loan Age Minimum</t>
        </is>
      </c>
      <c r="B17" s="3" t="inlineStr">
        <is>
          <t>&gt;= 12 months</t>
        </is>
      </c>
      <c r="C17" s="3" t="inlineStr">
        <is>
          <t>Payment Deferral, Flex Modifications</t>
        </is>
      </c>
      <c r="D17" s="3" t="inlineStr">
        <is>
          <t>Sec 9203.23; Sec 9206.1</t>
        </is>
      </c>
      <c r="E17" s="3" t="inlineStr">
        <is>
          <t>Auto-computed from noteDate or noteFirstPaymentDate</t>
        </is>
      </c>
    </row>
    <row r="18" ht="28" customHeight="1">
      <c r="A18" s="4" t="inlineStr">
        <is>
          <t>DLQ - Repayment Plan Max</t>
        </is>
      </c>
      <c r="B18" s="4" t="inlineStr">
        <is>
          <t>&lt;= 12 months</t>
        </is>
      </c>
      <c r="C18" s="4" t="inlineStr">
        <is>
          <t>FHLMC Repayment Plan</t>
        </is>
      </c>
      <c r="D18" s="4" t="inlineStr">
        <is>
          <t>Sec 9203.2</t>
        </is>
      </c>
      <c r="E18" s="4" t="inlineStr">
        <is>
          <t>Maximum DLQ for repayment plan eligibility</t>
        </is>
      </c>
    </row>
    <row r="19" ht="28" customHeight="1">
      <c r="A19" s="3" t="inlineStr">
        <is>
          <t>DLQ - Payment Deferral (Standard)</t>
        </is>
      </c>
      <c r="B19" s="3" t="inlineStr">
        <is>
          <t>2-6 months (tight band)</t>
        </is>
      </c>
      <c r="C19" s="3" t="inlineStr">
        <is>
          <t>FHLMC Payment Deferral</t>
        </is>
      </c>
      <c r="D19" s="3" t="inlineStr">
        <is>
          <t>Sec 9203.23</t>
        </is>
      </c>
      <c r="E19" s="3" t="inlineStr">
        <is>
          <t>Must be in exactly 2-6 month window</t>
        </is>
      </c>
    </row>
    <row r="20" ht="28" customHeight="1">
      <c r="A20" s="4" t="inlineStr">
        <is>
          <t>DLQ - Streamlined Deferral</t>
        </is>
      </c>
      <c r="B20" s="4" t="inlineStr">
        <is>
          <t>2-24 months (wide band)</t>
        </is>
      </c>
      <c r="C20" s="4" t="inlineStr">
        <is>
          <t>FHLMC Streamlined Deferral</t>
        </is>
      </c>
      <c r="D20" s="4" t="inlineStr">
        <is>
          <t>Sec 9203.4; Bulletin 2020-10</t>
        </is>
      </c>
      <c r="E20" s="4" t="inlineStr">
        <is>
          <t>Much wider than standard deferral - proactive solicitation</t>
        </is>
      </c>
    </row>
    <row r="21" ht="28" customHeight="1">
      <c r="A21" s="3" t="inlineStr">
        <is>
          <t>DLQ - Disaster Deferral Current</t>
        </is>
      </c>
      <c r="B21" s="3" t="inlineStr">
        <is>
          <t>1-12 months at evaluation</t>
        </is>
      </c>
      <c r="C21" s="3" t="inlineStr">
        <is>
          <t>FHLMC Disaster Deferral</t>
        </is>
      </c>
      <c r="D21" s="3" t="inlineStr">
        <is>
          <t>Sec 9203 Disaster</t>
        </is>
      </c>
      <c r="E21" s="3" t="inlineStr">
        <is>
          <t>Wider range allowed for disaster borrowers</t>
        </is>
      </c>
    </row>
    <row r="22" ht="28" customHeight="1">
      <c r="A22" s="4" t="inlineStr">
        <is>
          <t>DLQ at Disaster (all disaster programs)</t>
        </is>
      </c>
      <c r="B22" s="4" t="inlineStr">
        <is>
          <t>&lt; 2 months (&lt; 60 days)</t>
        </is>
      </c>
      <c r="C22" s="4" t="inlineStr">
        <is>
          <t>Disaster Deferral, Disaster Flex Mod</t>
        </is>
      </c>
      <c r="D22" s="4" t="inlineStr">
        <is>
          <t>Sec 9203; Sec 9206.1(c)(v); Bulletin 2026-2</t>
        </is>
      </c>
      <c r="E22" s="4" t="inlineStr">
        <is>
          <t>Was current or &lt; 60d DLQ when disaster was declared</t>
        </is>
      </c>
    </row>
    <row r="23" ht="28" customHeight="1">
      <c r="A23" s="3" t="inlineStr">
        <is>
          <t>DLQ - Flex Mod Standard</t>
        </is>
      </c>
      <c r="B23" s="3" t="inlineStr">
        <is>
          <t>&gt;= 2 months (60+ days) OR imminent default</t>
        </is>
      </c>
      <c r="C23" s="3" t="inlineStr">
        <is>
          <t>Flex Modification Standard</t>
        </is>
      </c>
      <c r="D23" s="3" t="inlineStr">
        <is>
          <t>Sec 9206.1</t>
        </is>
      </c>
      <c r="E23" s="3" t="inlineStr">
        <is>
          <t>Imminent default path allows &lt; 60d DLQ</t>
        </is>
      </c>
    </row>
    <row r="24" ht="28" customHeight="1">
      <c r="A24" s="4" t="inlineStr">
        <is>
          <t>DLQ - Flex Mod Streamlined</t>
        </is>
      </c>
      <c r="B24" s="4" t="inlineStr">
        <is>
          <t>&gt;= 3 months (90+ days) OR step-rate exception</t>
        </is>
      </c>
      <c r="C24" s="4" t="inlineStr">
        <is>
          <t>Flex Modification Streamlined</t>
        </is>
      </c>
      <c r="D24" s="4" t="inlineStr">
        <is>
          <t>Sec 9206.7</t>
        </is>
      </c>
      <c r="E24" s="4" t="inlineStr">
        <is>
          <t>Stricter than Standard; solicitation letter required</t>
        </is>
      </c>
    </row>
    <row r="25" ht="28" customHeight="1">
      <c r="A25" s="3" t="inlineStr">
        <is>
          <t>DLQ - Flex Mod Disaster (eval)</t>
        </is>
      </c>
      <c r="B25" s="3" t="inlineStr">
        <is>
          <t>&gt;= 3 months (90+ days) at evaluation</t>
        </is>
      </c>
      <c r="C25" s="3" t="inlineStr">
        <is>
          <t>Flex Modification Disaster</t>
        </is>
      </c>
      <c r="D25" s="3" t="inlineStr">
        <is>
          <t>Sec 9206.1(c)(v); Bulletin 2026-2</t>
        </is>
      </c>
      <c r="E25" s="3" t="inlineStr">
        <is>
          <t>NEW per Bulletin 2026-2 - must be &gt;= 90d at evaluation</t>
        </is>
      </c>
    </row>
    <row r="26" ht="28" customHeight="1">
      <c r="A26" s="4" t="inlineStr">
        <is>
          <t>Cumulative Deferral Cap (non-disaster)</t>
        </is>
      </c>
      <c r="B26" s="4" t="inlineStr">
        <is>
          <t>&lt; 18 months (lifetime)</t>
        </is>
      </c>
      <c r="C26" s="4" t="inlineStr">
        <is>
          <t>Standard and Streamlined Deferral</t>
        </is>
      </c>
      <c r="D26" s="4" t="inlineStr">
        <is>
          <t>Sec 9203.23</t>
        </is>
      </c>
      <c r="E26" s="4" t="inlineStr">
        <is>
          <t>18-month lifetime cap; disaster deferrals exempt</t>
        </is>
      </c>
    </row>
    <row r="27" ht="28" customHeight="1">
      <c r="A27" s="3" t="inlineStr">
        <is>
          <t>Prior Deferral Gap</t>
        </is>
      </c>
      <c r="B27" s="3" t="inlineStr">
        <is>
          <t>0 (never) OR &gt;= 12 months ago</t>
        </is>
      </c>
      <c r="C27" s="3" t="inlineStr">
        <is>
          <t>Standard and Streamlined Deferral</t>
        </is>
      </c>
      <c r="D27" s="3" t="inlineStr">
        <is>
          <t>Sec 9203.23</t>
        </is>
      </c>
      <c r="E27" s="3" t="inlineStr">
        <is>
          <t>Cannot defer within 12 months of a prior non-disaster deferral</t>
        </is>
      </c>
    </row>
    <row r="28" ht="28" customHeight="1">
      <c r="A28" s="4" t="inlineStr">
        <is>
          <t>Flex Mod Prior Mod Cap</t>
        </is>
      </c>
      <c r="B28" s="4" t="inlineStr">
        <is>
          <t>&lt; 3 (max 3 lifetime)</t>
        </is>
      </c>
      <c r="C28" s="4" t="inlineStr">
        <is>
          <t>Flex Mods Standard and Streamlined</t>
        </is>
      </c>
      <c r="D28" s="4" t="inlineStr">
        <is>
          <t>Sec 9206.1</t>
        </is>
      </c>
      <c r="E28" s="4" t="inlineStr">
        <is>
          <t>No cap for Disaster Flex Mod</t>
        </is>
      </c>
    </row>
    <row r="29" ht="28" customHeight="1">
      <c r="A29" s="3" t="inlineStr">
        <is>
          <t>FICO Threshold (ID Rule 2)</t>
        </is>
      </c>
      <c r="B29" s="3" t="inlineStr">
        <is>
          <t>&lt;= 620</t>
        </is>
      </c>
      <c r="C29" s="3" t="inlineStr">
        <is>
          <t>Flex Mod Standard Imminent Default</t>
        </is>
      </c>
      <c r="D29" s="3" t="inlineStr">
        <is>
          <t>FHLMC Imminent Default</t>
        </is>
      </c>
      <c r="E29" s="3" t="inlineStr">
        <is>
          <t>One of three Rule 2 triggers</t>
        </is>
      </c>
    </row>
    <row r="30" ht="28" customHeight="1">
      <c r="A30" s="4" t="inlineStr">
        <is>
          <t>Housing Ratio Threshold (ID Rule 2)</t>
        </is>
      </c>
      <c r="B30" s="4" t="inlineStr">
        <is>
          <t>&gt; 40% (PITI/GMI)</t>
        </is>
      </c>
      <c r="C30" s="4" t="inlineStr">
        <is>
          <t>Flex Mod Standard Imminent Default</t>
        </is>
      </c>
      <c r="D30" s="4" t="inlineStr">
        <is>
          <t>FHLMC Imminent Default</t>
        </is>
      </c>
      <c r="E30" s="4" t="inlineStr">
        <is>
          <t>FHLMC uses 40% (vs FNMA 55%)</t>
        </is>
      </c>
    </row>
    <row r="31" ht="28" customHeight="1">
      <c r="A31" s="3" t="inlineStr">
        <is>
          <t>Cash Threshold (ID Rule 1)</t>
        </is>
      </c>
      <c r="B31" s="3" t="inlineStr">
        <is>
          <t>&lt; $25,000</t>
        </is>
      </c>
      <c r="C31" s="3" t="inlineStr">
        <is>
          <t>Flex Mod Standard Imminent Default</t>
        </is>
      </c>
      <c r="D31" s="3" t="inlineStr">
        <is>
          <t>FHLMC Imminent Default</t>
        </is>
      </c>
      <c r="E31" s="3" t="inlineStr">
        <is>
          <t>FHLMC uses $25k dollar amount (vs FNMA 3x PITI)</t>
        </is>
      </c>
    </row>
    <row r="32" ht="28" customHeight="1">
      <c r="A32" s="4" t="inlineStr">
        <is>
          <t>MTMLTV for Rate Relief (Step 3)</t>
        </is>
      </c>
      <c r="B32" s="4" t="inlineStr">
        <is>
          <t>&gt;= 50%</t>
        </is>
      </c>
      <c r="C32" s="4" t="inlineStr">
        <is>
          <t>Flex Modification (all types)</t>
        </is>
      </c>
      <c r="D32" s="4" t="inlineStr">
        <is>
          <t>Bulletin 2024-E</t>
        </is>
      </c>
      <c r="E32" s="4" t="inlineStr">
        <is>
          <t>Enables interest rate reduction step</t>
        </is>
      </c>
    </row>
    <row r="33" ht="28" customHeight="1">
      <c r="A33" s="3" t="inlineStr">
        <is>
          <t>MTMLTV for Principal Forbearance (Step 5)</t>
        </is>
      </c>
      <c r="B33" s="3" t="inlineStr">
        <is>
          <t>&gt; 50%</t>
        </is>
      </c>
      <c r="C33" s="3" t="inlineStr">
        <is>
          <t>Flex Modification (all types)</t>
        </is>
      </c>
      <c r="D33" s="3" t="inlineStr">
        <is>
          <t>Bulletin 2024-E</t>
        </is>
      </c>
      <c r="E33" s="3" t="inlineStr">
        <is>
          <t>Enables principal forbearance up to 30% of post-cap UPB</t>
        </is>
      </c>
    </row>
    <row r="34" ht="28" customHeight="1">
      <c r="A34" s="4" t="inlineStr">
        <is>
          <t>Principal Forbearance Maximum</t>
        </is>
      </c>
      <c r="B34" s="4" t="inlineStr">
        <is>
          <t>30% of post-capitalization UPB</t>
        </is>
      </c>
      <c r="C34" s="4" t="inlineStr">
        <is>
          <t>Flex Modification Step 5</t>
        </is>
      </c>
      <c r="D34" s="4" t="inlineStr">
        <is>
          <t>Sec 9206.6; Bulletin 2024-E</t>
        </is>
      </c>
      <c r="E34" s="4" t="inlineStr">
        <is>
          <t>Non-interest-bearing; due at payoff/sale/transfer</t>
        </is>
      </c>
    </row>
    <row r="35" ht="28" customHeight="1">
      <c r="A35" s="3" t="inlineStr">
        <is>
          <t>Target P&amp;I Reduction</t>
        </is>
      </c>
      <c r="B35" s="3" t="inlineStr">
        <is>
          <t>&gt; 20% from pre-mod P&amp;I</t>
        </is>
      </c>
      <c r="C35" s="3" t="inlineStr">
        <is>
          <t>Flex Modification all steps</t>
        </is>
      </c>
      <c r="D35" s="3" t="inlineStr">
        <is>
          <t>Sec 9206.6</t>
        </is>
      </c>
      <c r="E35" s="3" t="inlineStr">
        <is>
          <t>Target P&amp;I = currentPI * 0.799; goal is &gt; 20% reduction</t>
        </is>
      </c>
    </row>
    <row r="36" ht="28" customHeight="1">
      <c r="A36" s="4" t="inlineStr">
        <is>
          <t>480-Month Term</t>
        </is>
      </c>
      <c r="B36" s="4" t="inlineStr">
        <is>
          <t>From modification effective date</t>
        </is>
      </c>
      <c r="C36" s="4" t="inlineStr">
        <is>
          <t>Flex Mod Steps 4 and 5</t>
        </is>
      </c>
      <c r="D36" s="4" t="inlineStr">
        <is>
          <t>Sec 9206.6</t>
        </is>
      </c>
      <c r="E36" s="4" t="inlineStr">
        <is>
          <t>40-year term measured from mod effective date, not original note date</t>
        </is>
      </c>
    </row>
    <row r="37" ht="28" customHeight="1">
      <c r="A37" s="3" t="inlineStr">
        <is>
          <t>Forbearance Term (Bulletin 2026-2)</t>
        </is>
      </c>
      <c r="B37" s="3" t="inlineStr">
        <is>
          <t>1-3 months initial (reduced from 1-6)</t>
        </is>
      </c>
      <c r="C37" s="3" t="inlineStr">
        <is>
          <t>Forbearance Plan</t>
        </is>
      </c>
      <c r="D37" s="3" t="inlineStr">
        <is>
          <t>Sec 9203.3; Bulletin 2026-2 eff. May 1 2026</t>
        </is>
      </c>
      <c r="E37" s="3" t="inlineStr">
        <is>
          <t>Extensions also 1-3 months; max cumulative 12 months</t>
        </is>
      </c>
    </row>
    <row r="38" ht="28" customHeight="1">
      <c r="A38" s="4" t="inlineStr">
        <is>
          <t>Short Sale Prior Evaluation</t>
        </is>
      </c>
      <c r="B38" s="4" t="inlineStr">
        <is>
          <t>NOT required (Bulletin 2026-2)</t>
        </is>
      </c>
      <c r="C38" s="4" t="inlineStr">
        <is>
          <t>Freddie Mac Short Sale</t>
        </is>
      </c>
      <c r="D38" s="4" t="inlineStr">
        <is>
          <t>Bulletin 2026-2 eff. Feb 11, 2026</t>
        </is>
      </c>
      <c r="E38" s="4" t="inlineStr">
        <is>
          <t>Prior home retention evaluation no longer a prerequisite for short sale</t>
        </is>
      </c>
    </row>
  </sheetData>
  <mergeCells count="2">
    <mergeCell ref="A15:E15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2026-03-30T16:03:45Z</dcterms:created>
  <dcterms:modified xsi:type="dcterms:W3CDTF">2026-03-30T16:03:46Z</dcterms:modified>
</cp:coreProperties>
</file>