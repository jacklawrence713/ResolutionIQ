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mgfi-my.sharepoint.com/personal/jlawrence_cmgfi_com/Documents/Desktop/LMU2/"/>
    </mc:Choice>
  </mc:AlternateContent>
  <xr:revisionPtr revIDLastSave="0" documentId="14_{1EC887D0-316E-4746-9632-8CE755C77DED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FHA Overview" sheetId="1" r:id="rId1"/>
    <sheet name="FHA Criteria Detail" sheetId="2" r:id="rId2"/>
    <sheet name="FHA Rate &amp; Payment Calcs" sheetId="3" r:id="rId3"/>
    <sheet name="FHA Waterfall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0" i="2" l="1"/>
  <c r="D57" i="2"/>
  <c r="D56" i="2"/>
  <c r="D55" i="2"/>
  <c r="D48" i="2"/>
  <c r="D45" i="2"/>
  <c r="D29" i="2"/>
  <c r="D20" i="2"/>
  <c r="D15" i="2"/>
  <c r="D14" i="2"/>
  <c r="D8" i="2"/>
  <c r="D7" i="2"/>
  <c r="D5" i="2"/>
  <c r="D4" i="2"/>
</calcChain>
</file>

<file path=xl/sharedStrings.xml><?xml version="1.0" encoding="utf-8"?>
<sst xmlns="http://schemas.openxmlformats.org/spreadsheetml/2006/main" count="580" uniqueCount="459">
  <si>
    <t>ResolutionIQ - FHA Loss Mitigation Programs: Calculation Overview</t>
  </si>
  <si>
    <t>Program</t>
  </si>
  <si>
    <t>Category</t>
  </si>
  <si>
    <t>Quick Gate</t>
  </si>
  <si>
    <t>Key Eligibility Conditions</t>
  </si>
  <si>
    <t>Key Disqualifiers</t>
  </si>
  <si>
    <t>Regulatory Basis</t>
  </si>
  <si>
    <t>FHA Reinstatement</t>
  </si>
  <si>
    <t>Pre-Default</t>
  </si>
  <si>
    <t>DLQ &gt; 0</t>
  </si>
  <si>
    <t>Any delinquency; borrower pays all past-due P&amp;I, escrow, fees to restore current status</t>
  </si>
  <si>
    <t>Current loan (DLQ = 0)</t>
  </si>
  <si>
    <t>HUD 4000.1 Sec III.A.2</t>
  </si>
  <si>
    <t>Repayment Plan</t>
  </si>
  <si>
    <t>Early Default</t>
  </si>
  <si>
    <t>DLQ &lt;= 12 mo; repay in 24 mo; RPP pmt &lt;= 150% PITI</t>
  </si>
  <si>
    <t>Non-disaster; DLQ &lt;=12 mo; total RPP pmt &lt;= 150% current PITI; PITI + arrears/24 &lt;= 40% GMI; borrower responsive; no failed TPP</t>
  </si>
  <si>
    <t>Disaster hardship; DLQ &gt;12 mo; RPP exceeds 150% PITI; failed TPP</t>
  </si>
  <si>
    <t>HUD 4000.1 Sec III.A.2.f</t>
  </si>
  <si>
    <t>Formal Forbearance</t>
  </si>
  <si>
    <t>DLQ &lt; 12 mo; repay in 6 mo OR requested</t>
  </si>
  <si>
    <t>Non-disaster; DLQ &lt;12 mo; borrower requests OR can repay within 6 mo; responsive</t>
  </si>
  <si>
    <t>Disaster; DLQ &gt;= 12 mo; unresponsive</t>
  </si>
  <si>
    <t>HUD 4000.1 Sec III.A.2.k</t>
  </si>
  <si>
    <t>Special Forbearance (Unemployment)</t>
  </si>
  <si>
    <t>Special Circumstances</t>
  </si>
  <si>
    <t>Verified unemployment; no income; ineligible all retention</t>
  </si>
  <si>
    <t>Unemployment hardship verified; no income; DLQ &lt;=12 mo; owner-occ principal res; ineligible for all retention; not listed for sale; no assumption in process</t>
  </si>
  <si>
    <t>Income present; non-unemployment; listed for sale; assumption in process</t>
  </si>
  <si>
    <t>HUD 4000.1 Sec III.A.2.k.v</t>
  </si>
  <si>
    <t>FHA Standalone Partial Claim</t>
  </si>
  <si>
    <t>Home Retention</t>
  </si>
  <si>
    <t>DLQ 4-12 mo; loan age &gt;=12 mo; can resume payment; PC within 30% cap</t>
  </si>
  <si>
    <t>Standard hardship; DLQ 4-12 mo; loan &gt;=12 mo; 24-mo cooldown OK; borrower CAN resume pre-hardship payment; PC arrears within cap</t>
  </si>
  <si>
    <t>Cannot resume payment; DLQ &lt;4 or &gt;12; prior HR &lt;24 mo; PC cap exceeded</t>
  </si>
  <si>
    <t>ML 2025-06; HUD 4000.1 Sec III.A.2.k</t>
  </si>
  <si>
    <t>FHA 30-Yr Standalone Mod</t>
  </si>
  <si>
    <t>hb base + 25% P&amp;I reduction achievable @ 360 mo</t>
  </si>
  <si>
    <t>Standard hardship; DLQ 4-12 mo; loan &gt;=12 mo; 24-mo cooldown; PMMS+25bps @ 360 mo achieves &gt;= 25% P&amp;I reduction</t>
  </si>
  <si>
    <t>DLQ &lt;4 or &gt;12; target not achievable at 360 mo; prior HR &lt;24 mo</t>
  </si>
  <si>
    <t>FHA 40-Yr Combo Mod + Partial Claim</t>
  </si>
  <si>
    <t>hb base + 30yr fails + PC within cap + target @ 480 mo + new UPB &lt;= orig</t>
  </si>
  <si>
    <t>Standard hardship; DLQ 4-12 mo; 360-mo mod fails; PC+mod within 30% cap; PMMS flat @ 480 mo achieves target; new UPB &lt;= original UPB</t>
  </si>
  <si>
    <t>360-mo mod succeeds; PC cap exceeded; 480-mo target fails; new UPB exceeds original</t>
  </si>
  <si>
    <t>Payment Supplement</t>
  </si>
  <si>
    <t>Waterfall Step 7</t>
  </si>
  <si>
    <t>All mods fail + 36-mo cooldown + responsive + combo pmt &lt;= 40% GMI</t>
  </si>
  <si>
    <t>Non-disaster; DLQ &gt;=3 mo; 360 AND 480 mo both fail; combo pmt &lt;=40% GMI; PC within cap; prior PS &gt;= 36 mo ago; borrower responsive</t>
  </si>
  <si>
    <t>Either mod succeeds; prior PS &lt;36 mo; unresponsive; DTI &gt;40%</t>
  </si>
  <si>
    <t>ML 2025-06; ML 2024-02</t>
  </si>
  <si>
    <t>FHA OWL Modification</t>
  </si>
  <si>
    <t>Unresponsive Track</t>
  </si>
  <si>
    <t>DLQ &gt;= 3 mo + unresponsive + &gt;= $1 P&amp;I reduction</t>
  </si>
  <si>
    <t>Borrower unresponsive (all contact exhausted); DLQ &gt;=3 mo; PMMS+25bps @ 360 mo achieves &gt;= $1 P&amp;I reduction; owner-occ primary residence</t>
  </si>
  <si>
    <t>Borrower responsive; &lt;$1 reduction; DLQ &lt;3 mo</t>
  </si>
  <si>
    <t>ML 2024-24; ML 2025-14 (eff Oct 1 2025)</t>
  </si>
  <si>
    <t>FHA Disaster Loan Modification</t>
  </si>
  <si>
    <t>Disaster Relief</t>
  </si>
  <si>
    <t>verifiedDisaster + canAchieve360 + income/DLQ test</t>
  </si>
  <si>
    <t>Federally declared disaster; in PDMA; DLQ &lt;12 mo at disaster; loan &gt;=12 mo; PMMS+25bps @ 360 mo hits target; income test passed</t>
  </si>
  <si>
    <t>Not in PDMA; DLQ &gt;=12 mo; repairs not done; income test fails</t>
  </si>
  <si>
    <t>HUD 4000.1 Sec III.A.2.k.vi; ML 2023-12</t>
  </si>
  <si>
    <t>FHA Disaster Standalone PC</t>
  </si>
  <si>
    <t>verifiedDisaster + 360-mo mod fails + PC within cap</t>
  </si>
  <si>
    <t>Same as Disaster Mod + 360-mo re-amortization fails; PC needed &lt;= available 30% cap</t>
  </si>
  <si>
    <t>360-mo mod succeeds; PC cap exceeded</t>
  </si>
  <si>
    <t>HUD 4000.1 Sec III.A.2.k.vi</t>
  </si>
  <si>
    <t>Pre-Foreclosure Sale (PFS)</t>
  </si>
  <si>
    <t>Disposition</t>
  </si>
  <si>
    <t>Borrower intent = sell + DLQ &gt;0 + meetsPFSRequirements</t>
  </si>
  <si>
    <t>Borrower wants to sell; documented hardship; DLQ &gt;0; principal residence or listed for sale; net proceeds &gt;= 88% appraised value</t>
  </si>
  <si>
    <t>Borrower wants to retain; no documented hardship</t>
  </si>
  <si>
    <t>HUD 4000.1 Sec III.A.2.l; ML 2013-32</t>
  </si>
  <si>
    <t>Deed-in-Lieu (DIL)</t>
  </si>
  <si>
    <t>PFS failed/ineligible + clear title + meetsDILRequirements</t>
  </si>
  <si>
    <t>PFS attempted/ineligible; documented hardship; clear title; not condemned/abandoned; borrower vacates</t>
  </si>
  <si>
    <t>Clouded title; condemned/abandoned; PFS not yet attempted</t>
  </si>
  <si>
    <t>HUD 4000.1 Sec III.A.2.m</t>
  </si>
  <si>
    <t>FHA - Detailed Eligibility Criteria Per Program</t>
  </si>
  <si>
    <t>Criterion</t>
  </si>
  <si>
    <t>Field / Input</t>
  </si>
  <si>
    <t>Threshold</t>
  </si>
  <si>
    <t>Pass Condition</t>
  </si>
  <si>
    <t>Fail / Notes</t>
  </si>
  <si>
    <t>BASE ELIGIBILITY - Applied to Most FHA Home Retention Programs</t>
  </si>
  <si>
    <t>(All Home Retention)</t>
  </si>
  <si>
    <t>Occupancy Status</t>
  </si>
  <si>
    <t>occupancyStatus</t>
  </si>
  <si>
    <t>Owner-occupied primary residence</t>
  </si>
  <si>
    <t>Investment/rental/second home</t>
  </si>
  <si>
    <t>Foreclosure Status</t>
  </si>
  <si>
    <t>foreclosureActive</t>
  </si>
  <si>
    <t>No active foreclosure</t>
  </si>
  <si>
    <t>Active foreclosure underway</t>
  </si>
  <si>
    <t>Property Condition</t>
  </si>
  <si>
    <t>propertyCondition</t>
  </si>
  <si>
    <t>Not Condemned or Uninhabitable</t>
  </si>
  <si>
    <t>Habitable property</t>
  </si>
  <si>
    <t>Condemned or uninhabitable</t>
  </si>
  <si>
    <t>Property Disposition</t>
  </si>
  <si>
    <t>propertyDisposition</t>
  </si>
  <si>
    <t>Principal residence confirmed</t>
  </si>
  <si>
    <t>Non-principal-residence use</t>
  </si>
  <si>
    <t>Lien Position</t>
  </si>
  <si>
    <t>lienPosition</t>
  </si>
  <si>
    <t>First lien position</t>
  </si>
  <si>
    <t>Subordinate lien</t>
  </si>
  <si>
    <t>REPAYMENT PLAN</t>
  </si>
  <si>
    <t>Hardship Type</t>
  </si>
  <si>
    <t>hardshipType</t>
  </si>
  <si>
    <t>Not Disaster</t>
  </si>
  <si>
    <t>Non-disaster hardship</t>
  </si>
  <si>
    <t>Disaster -&gt; use disaster track</t>
  </si>
  <si>
    <t>Delinquency Months</t>
  </si>
  <si>
    <t>delinquencyMonths</t>
  </si>
  <si>
    <t>&lt;= 12 months</t>
  </si>
  <si>
    <t>1-12 months DLQ</t>
  </si>
  <si>
    <t>&gt;12 months DLQ</t>
  </si>
  <si>
    <t>Repayment Affordability (24 mo)</t>
  </si>
  <si>
    <t>Calc: (PITI + arrears/24) / GMI</t>
  </si>
  <si>
    <t>&lt;= 40% DTI</t>
  </si>
  <si>
    <t>Total DTI &lt;= 40%</t>
  </si>
  <si>
    <t>DTI exceeds 40% - not affordable</t>
  </si>
  <si>
    <t>RPP Payment Cap (HUD 4000.1 Sec III.A.2.f)</t>
  </si>
  <si>
    <t>Calc: PITI + (arrears/24)</t>
  </si>
  <si>
    <t>&lt;= 150% of current PITI</t>
  </si>
  <si>
    <t>Total RPP pmt within cap</t>
  </si>
  <si>
    <t>Exceeds 150% PITI cap</t>
  </si>
  <si>
    <t>No Prior Failed TPP</t>
  </si>
  <si>
    <t>failedTPP</t>
  </si>
  <si>
    <t>No failed trial plan on record</t>
  </si>
  <si>
    <t>Prior failed TPP disqualifies</t>
  </si>
  <si>
    <t>Borrower Responsive</t>
  </si>
  <si>
    <t>fhaOwlBorrowerUnresponsive</t>
  </si>
  <si>
    <t>Borrower making contact</t>
  </si>
  <si>
    <t>Unresponsive -&gt; use OWL track</t>
  </si>
  <si>
    <t>FORMAL FORBEARANCE</t>
  </si>
  <si>
    <t>Disaster hardship</t>
  </si>
  <si>
    <t>&lt; 12 months</t>
  </si>
  <si>
    <t>1-11 months DLQ</t>
  </si>
  <si>
    <t>&gt;= 12 months DLQ</t>
  </si>
  <si>
    <t>Repayment in 6 mo OR Requested</t>
  </si>
  <si>
    <t>Calc: (PITI + arrears/6) / GMI OR requestedForbearance</t>
  </si>
  <si>
    <t>DTI &lt;=40% in 6 mo OR borrower requested</t>
  </si>
  <si>
    <t>Either condition met</t>
  </si>
  <si>
    <t>Cannot repay in 6 mo AND did not request</t>
  </si>
  <si>
    <t>Borrower responsive</t>
  </si>
  <si>
    <t>Unresponsive -&gt; use OWL</t>
  </si>
  <si>
    <t>HOME RETENTION BASE ('hb') - Required for Standalone PC, 30-Yr Mod, 40-Yr Combo, Payment Supplement</t>
  </si>
  <si>
    <t>Home Retention Base</t>
  </si>
  <si>
    <t>Delinquency Minimum</t>
  </si>
  <si>
    <t>&gt;= 4 months (120 days)</t>
  </si>
  <si>
    <t>4-12 months DLQ</t>
  </si>
  <si>
    <t>&lt;4 months DLQ - too early</t>
  </si>
  <si>
    <t>Delinquency Maximum</t>
  </si>
  <si>
    <t>Loan Age</t>
  </si>
  <si>
    <t>noteDate or noteFirstPaymentDate</t>
  </si>
  <si>
    <t>&gt;= 12 months from note date</t>
  </si>
  <si>
    <t>Loan is &gt;=12 months old</t>
  </si>
  <si>
    <t>&lt;12 months - too new for HAMP options</t>
  </si>
  <si>
    <t>Prior Home Retention Cooldown (ML 2025-12)</t>
  </si>
  <si>
    <t>priorFHAHAMPMonths</t>
  </si>
  <si>
    <t>No prior HR or prior &gt;= 24 mo ago</t>
  </si>
  <si>
    <t>Prior home retention &lt;24 months ago</t>
  </si>
  <si>
    <t>In approved standard list</t>
  </si>
  <si>
    <t>Unemployment, Reduced Income, Medical, Death, Military, Divorce, etc.</t>
  </si>
  <si>
    <t>Non-standard hardship</t>
  </si>
  <si>
    <t>Borrower Intent</t>
  </si>
  <si>
    <t>borrowerIntentRetention</t>
  </si>
  <si>
    <t>Borrower wants to retain home</t>
  </si>
  <si>
    <t>Borrower wants to sell -&gt; use PFS/DIL</t>
  </si>
  <si>
    <t>FHA STANDALONE PARTIAL CLAIM (additional criteria beyond 'hb')</t>
  </si>
  <si>
    <t>Standalone Partial Claim</t>
  </si>
  <si>
    <t>Borrower Can Resume Pre-Hardship Payment</t>
  </si>
  <si>
    <t>fhaBorrowerCanResumePreHardship</t>
  </si>
  <si>
    <t>No modification needed - just needs arrears covered</t>
  </si>
  <si>
    <t>Cannot resume -&gt; needs modification (30/40-yr)</t>
  </si>
  <si>
    <t>PC Within 30% Statutory Cap</t>
  </si>
  <si>
    <t>Calc: priorPCBalance + pcNeeded &lt;= origUPB * 0.30</t>
  </si>
  <si>
    <t>PC &lt;= 30% of original UPB</t>
  </si>
  <si>
    <t>Arrears covered by PC within cap</t>
  </si>
  <si>
    <t>Cap exceeded - insufficient PC available</t>
  </si>
  <si>
    <t>FHA 30-YEAR STANDALONE MODIFICATION (additional criteria beyond 'hb')</t>
  </si>
  <si>
    <t>30-Yr Standalone Mod</t>
  </si>
  <si>
    <t>Rate Calculation</t>
  </si>
  <si>
    <t>pmmsRate (user input)</t>
  </si>
  <si>
    <t>PMMS + 0.25%, rounded to nearest 0.125%</t>
  </si>
  <si>
    <t>Rate calculated (PMMS+25bps)</t>
  </si>
  <si>
    <t>N/A - always calculated if PMMS entered</t>
  </si>
  <si>
    <t>25% P&amp;I Reduction @ 360 Months</t>
  </si>
  <si>
    <t>Calc: calcMonthlyPI(newUPB, modRate30, 360) + escrow</t>
  </si>
  <si>
    <t>New PITI &lt;= current P&amp;I * 0.75 + escrow</t>
  </si>
  <si>
    <t>Target achieved at 30-year term</t>
  </si>
  <si>
    <t>Cannot hit target -&gt; try 40-yr combo</t>
  </si>
  <si>
    <t>FHA 40-YEAR COMBINATION MOD + PARTIAL CLAIM (additional criteria beyond 'hb')</t>
  </si>
  <si>
    <t>40-Yr Combo Mod+PC</t>
  </si>
  <si>
    <t>30-Yr Mod Must Fail First (waterfall)</t>
  </si>
  <si>
    <t>Calc: PITI_360 &gt; target</t>
  </si>
  <si>
    <t>360-mo re-am fails</t>
  </si>
  <si>
    <t>30-yr mod is insufficient</t>
  </si>
  <si>
    <t>30-yr achieves target -&gt; stop there</t>
  </si>
  <si>
    <t>PC Within 30% Cap OR Alt Affordability Path</t>
  </si>
  <si>
    <t>Calc: pcNeeded &lt;= pcAvailable OR (arrears&gt;30% origUPB AND target&lt;=40% GMI)</t>
  </si>
  <si>
    <t>Standard cap OR alt path passes</t>
  </si>
  <si>
    <t>Either path passes</t>
  </si>
  <si>
    <t>Both cap and alt path fail</t>
  </si>
  <si>
    <t>Rate Calculation (40-yr)</t>
  </si>
  <si>
    <t>PMMS flat, rounded to nearest 0.125%</t>
  </si>
  <si>
    <t>Rate calculated (PMMS flat)</t>
  </si>
  <si>
    <t>N/A</t>
  </si>
  <si>
    <t>25% P&amp;I Reduction @ 480 Months</t>
  </si>
  <si>
    <t>Calc: calcMonthlyPI(newUPB, modRate480, 480) + escrow</t>
  </si>
  <si>
    <t>New PITI &lt;= target at 480-month term</t>
  </si>
  <si>
    <t>Target achieved at 40-year term</t>
  </si>
  <si>
    <t>Cannot hit target -&gt; try Payment Supplement</t>
  </si>
  <si>
    <t>New UPB &lt;= Original UPB</t>
  </si>
  <si>
    <t>Calc: UPB + capitalized arrears + escrow + fees</t>
  </si>
  <si>
    <t>&lt;= original UPB</t>
  </si>
  <si>
    <t>No net debt increase beyond original</t>
  </si>
  <si>
    <t>New UPB exceeds original UPB</t>
  </si>
  <si>
    <t>PAYMENT SUPPLEMENT (Waterfall Step 7 - Last Resort)</t>
  </si>
  <si>
    <t>All Mod Paths Exhausted</t>
  </si>
  <si>
    <t>Calc: PITI_360 &gt; target AND PITI_480 &gt; target</t>
  </si>
  <si>
    <t>Both 30-yr and 40-yr combo failed</t>
  </si>
  <si>
    <t>Both mods fail - proceed to PS</t>
  </si>
  <si>
    <t>Either mod succeeds -&gt; use mod instead</t>
  </si>
  <si>
    <t>Combo Payment &lt;= 40% GMI</t>
  </si>
  <si>
    <t>Calc: current PITI / GMI</t>
  </si>
  <si>
    <t>&lt;= 40%</t>
  </si>
  <si>
    <t>Affordable</t>
  </si>
  <si>
    <t>DTI &gt;40% -&gt; not eligible</t>
  </si>
  <si>
    <t>PC Within 30% Cap</t>
  </si>
  <si>
    <t>Same as partial claim cap</t>
  </si>
  <si>
    <t>PC &lt;= 30% original UPB</t>
  </si>
  <si>
    <t>Within statutory cap</t>
  </si>
  <si>
    <t>Cap exceeded</t>
  </si>
  <si>
    <t>Prior PS Cooldown (ML 2024-02)</t>
  </si>
  <si>
    <t>priorFHAPaymentSupplementMonths</t>
  </si>
  <si>
    <t>No prior PS or &gt;= 36 mo ago</t>
  </si>
  <si>
    <t>Prior PS &lt;36 months ago (stricter than 24-mo general cooldown)</t>
  </si>
  <si>
    <t>Active borrower participation required</t>
  </si>
  <si>
    <t>&gt;= 3 months</t>
  </si>
  <si>
    <t>3+ months DLQ</t>
  </si>
  <si>
    <t>&lt;3 months DLQ</t>
  </si>
  <si>
    <t>FHA OWL MODIFICATION (Unresponsive Borrower Track)</t>
  </si>
  <si>
    <t>OWL Modification</t>
  </si>
  <si>
    <t>Borrower Unresponsive (ML 2025-14)</t>
  </si>
  <si>
    <t>All contact attempts exhausted</t>
  </si>
  <si>
    <t>Borrower responsive -&gt; use standard home retention</t>
  </si>
  <si>
    <t>Rate Achieves &gt;= $1 P&amp;I Reduction</t>
  </si>
  <si>
    <t>Calc: currentPI - newPI (PMMS+25bps @ 360 mo)</t>
  </si>
  <si>
    <t>&gt;= $1.00 monthly P&amp;I reduction</t>
  </si>
  <si>
    <t>Meaningful reduction achieved</t>
  </si>
  <si>
    <t>&lt;$1 reduction - modification not beneficial</t>
  </si>
  <si>
    <t>No TPP Required</t>
  </si>
  <si>
    <t>Servicer-executed unilaterally</t>
  </si>
  <si>
    <t>No borrower participation needed</t>
  </si>
  <si>
    <t>N/A - key advantage</t>
  </si>
  <si>
    <t>No Income Docs Required</t>
  </si>
  <si>
    <t>No income verification</t>
  </si>
  <si>
    <t>Servicer acts unilaterally</t>
  </si>
  <si>
    <t>FHA DISASTER PROGRAMS (Disaster Mod and Disaster Standalone PC)</t>
  </si>
  <si>
    <t>Disaster Programs</t>
  </si>
  <si>
    <t>Disaster Verified</t>
  </si>
  <si>
    <t>verifiedDisaster</t>
  </si>
  <si>
    <t>Presidentially-declared disaster confirmed</t>
  </si>
  <si>
    <t>No verified disaster -&gt; use standard track</t>
  </si>
  <si>
    <t>Property in PDMA</t>
  </si>
  <si>
    <t>propertyInPDMA</t>
  </si>
  <si>
    <t>Property in declared disaster area</t>
  </si>
  <si>
    <t>Property outside PDMA</t>
  </si>
  <si>
    <t>Principal Residence Pre-Disaster</t>
  </si>
  <si>
    <t>principalResidencePreDisaster</t>
  </si>
  <si>
    <t>Was primary home when disaster struck</t>
  </si>
  <si>
    <t>Was not primary residence at time of disaster</t>
  </si>
  <si>
    <t>Loan Age &gt;= 12 months</t>
  </si>
  <si>
    <t>Auto-calc from noteDate</t>
  </si>
  <si>
    <t>&gt;= 12 months</t>
  </si>
  <si>
    <t>Loan seasoned enough</t>
  </si>
  <si>
    <t>&lt;12 months old</t>
  </si>
  <si>
    <t>DLQ &lt; 12 months at Disaster</t>
  </si>
  <si>
    <t>&lt; 12 months at time of disaster</t>
  </si>
  <si>
    <t>Not severely delinquent at disaster</t>
  </si>
  <si>
    <t>&gt;= 12 months DLQ at disaster</t>
  </si>
  <si>
    <t>Repairs Completed (if damaged)</t>
  </si>
  <si>
    <t>propertySubstantiallyDamaged -&gt; repairsCompleted</t>
  </si>
  <si>
    <t>If damaged, repairs must be done</t>
  </si>
  <si>
    <t>Not damaged OR repairs completed</t>
  </si>
  <si>
    <t>Substantially damaged with no repairs</t>
  </si>
  <si>
    <t>Income / DLQ Test (one of three)</t>
  </si>
  <si>
    <t>currentOrLe30DaysAtDisaster OR incomeGePreDisaster OR incomeDocProvided</t>
  </si>
  <si>
    <t>At least one must be true</t>
  </si>
  <si>
    <t>Current/&lt;=30d DLQ at disaster; OR income &gt;= pre-disaster; OR income docs provided</t>
  </si>
  <si>
    <t>None of three conditions met</t>
  </si>
  <si>
    <t>Disaster Mod Only</t>
  </si>
  <si>
    <t>25% P&amp;I Reduction Achievable @ 360 mo</t>
  </si>
  <si>
    <t>Calc: PMMS+25bps @ 360 mo</t>
  </si>
  <si>
    <t>New PITI &lt;= target</t>
  </si>
  <si>
    <t>Achievable -&gt; Disaster Mod eligible</t>
  </si>
  <si>
    <t>Not achievable -&gt; try Disaster Standalone PC</t>
  </si>
  <si>
    <t>Disaster Standalone PC Only</t>
  </si>
  <si>
    <t>25% Reduction NOT Achievable @ 360 mo</t>
  </si>
  <si>
    <t>Cannot achieve via mod -&gt; PC path</t>
  </si>
  <si>
    <t>Can achieve via mod -&gt; use Disaster Mod</t>
  </si>
  <si>
    <t>Calc: pcNeeded &lt;= pcAvailable</t>
  </si>
  <si>
    <t>DISPOSITION - Pre-Foreclosure Sale (PFS) &amp; Deed-in-Lieu (DIL)</t>
  </si>
  <si>
    <t>Pre-Foreclosure Sale</t>
  </si>
  <si>
    <t>Borrower chooses disposition</t>
  </si>
  <si>
    <t>Documented Hardship</t>
  </si>
  <si>
    <t>In standard list OR Disaster</t>
  </si>
  <si>
    <t>Qualifying hardship</t>
  </si>
  <si>
    <t>No qualifying hardship</t>
  </si>
  <si>
    <t>Loan Delinquent</t>
  </si>
  <si>
    <t>&gt; 0</t>
  </si>
  <si>
    <t>Any delinquency present</t>
  </si>
  <si>
    <t>Current loan</t>
  </si>
  <si>
    <t>Net Proceeds Minimum</t>
  </si>
  <si>
    <t>meetsPFSRequirements (manual)</t>
  </si>
  <si>
    <t>&gt;= 88% of appraised value</t>
  </si>
  <si>
    <t>Proceeds meet FHA Net Value threshold</t>
  </si>
  <si>
    <t>Proceeds below FHA minimum</t>
  </si>
  <si>
    <t>Deed-in-Lieu</t>
  </si>
  <si>
    <t>PFS Attempted or Ineligible</t>
  </si>
  <si>
    <t>outstandingDebtUncurable</t>
  </si>
  <si>
    <t>PFS path exhausted</t>
  </si>
  <si>
    <t>PFS not yet attempted</t>
  </si>
  <si>
    <t>Clear Title</t>
  </si>
  <si>
    <t>meetsDILRequirements (manual)</t>
  </si>
  <si>
    <t>No subordinate liens or encumbrances</t>
  </si>
  <si>
    <t>Title clear and marketable</t>
  </si>
  <si>
    <t>Clouded title</t>
  </si>
  <si>
    <t>Property Not Condemned/Abandoned</t>
  </si>
  <si>
    <t>propertyCondition / occupancyAbandoned</t>
  </si>
  <si>
    <t>Not Condemned AND not abandoned</t>
  </si>
  <si>
    <t>Marketable property</t>
  </si>
  <si>
    <t>Condemned or abandoned property</t>
  </si>
  <si>
    <t>FHA - Rate, Payment &amp; Threshold Calculations</t>
  </si>
  <si>
    <t>Calculation</t>
  </si>
  <si>
    <t>Formula</t>
  </si>
  <si>
    <t>Example (PMMS=6.75%)</t>
  </si>
  <si>
    <t>Source</t>
  </si>
  <si>
    <t>Notes</t>
  </si>
  <si>
    <t>FHA 30-Yr Mod Rate</t>
  </si>
  <si>
    <t>round((PMMS + 0.25%) / 0.125%) * 0.125%</t>
  </si>
  <si>
    <t>round(7.00/0.125)*0.125 = 7.000%</t>
  </si>
  <si>
    <t>ML 2025-06</t>
  </si>
  <si>
    <t>Always calculated</t>
  </si>
  <si>
    <t>Rounded to nearest 0.125%</t>
  </si>
  <si>
    <t>FHA 40-Yr Mod Rate</t>
  </si>
  <si>
    <t>round(PMMS / 0.125%) * 0.125%</t>
  </si>
  <si>
    <t>round(6.75/0.125)*0.125 = 6.750%</t>
  </si>
  <si>
    <t>Flat PMMS - no spread added</t>
  </si>
  <si>
    <t>New UPB (capitalization)</t>
  </si>
  <si>
    <t>Current UPB + arrears to capitalize + escrow shortage + legal fees</t>
  </si>
  <si>
    <t>$200,000 + $8,000 + $1,500 + $500 = $210,000</t>
  </si>
  <si>
    <t>HUD 4000.1</t>
  </si>
  <si>
    <t>Used in all payment calcs</t>
  </si>
  <si>
    <t>Per servicer records</t>
  </si>
  <si>
    <t>Target PITI (Default - ML 2025-06)</t>
  </si>
  <si>
    <t>Current P&amp;I * 0.75 + escrow</t>
  </si>
  <si>
    <t>$1,200 * 0.75 + $300 = $1,200</t>
  </si>
  <si>
    <t>ML 2025-06 (replaces 31% GMI target)</t>
  </si>
  <si>
    <t>New PITI must be &lt;= target</t>
  </si>
  <si>
    <t>25% P&amp;I reduction; escrow unchanged</t>
  </si>
  <si>
    <t>PITI at 360 Months (30-yr test)</t>
  </si>
  <si>
    <t>calcMonthlyPI(newUPB, modRate30, 360) + escrow</t>
  </si>
  <si>
    <t>PI($210k, 7.0%, 360) + $300 = ~$1,697</t>
  </si>
  <si>
    <t>PITI_360 &lt;= Target PITI</t>
  </si>
  <si>
    <t>Pass = 30-yr standalone mod eligible</t>
  </si>
  <si>
    <t>PITI at 480 Months (40-yr test)</t>
  </si>
  <si>
    <t>calcMonthlyPI(newUPB, modRate40, 480) + escrow</t>
  </si>
  <si>
    <t>PI($210k, 6.75%, 480) + $300 = ~$1,562</t>
  </si>
  <si>
    <t>PITI_480 &lt;= Target PITI</t>
  </si>
  <si>
    <t>Pass = 40-yr combo mod eligible</t>
  </si>
  <si>
    <t>Max Partial Claim (30% Cap)</t>
  </si>
  <si>
    <t>originalUPB * 0.30</t>
  </si>
  <si>
    <t>$250,000 * 30% = $75,000</t>
  </si>
  <si>
    <t>HUD statute</t>
  </si>
  <si>
    <t>PC needed &lt;= Max PC</t>
  </si>
  <si>
    <t>If no originalUPB entered, uses currentUPB * 30%</t>
  </si>
  <si>
    <t>PC Available</t>
  </si>
  <si>
    <t>Max PC - prior PC balance already used</t>
  </si>
  <si>
    <t>$75,000 - $10,000 = $65,000</t>
  </si>
  <si>
    <t>pcNeeded &lt;= pcAvailable</t>
  </si>
  <si>
    <t>Running lifetime balance tracked</t>
  </si>
  <si>
    <t>PC Needed (Combo Mod)</t>
  </si>
  <si>
    <t>max(0, newUPB - affordableUPB)</t>
  </si>
  <si>
    <t>max(0, $210k - $195k) = $15,000</t>
  </si>
  <si>
    <t>Deferred via subordinate PC note</t>
  </si>
  <si>
    <t>RPP 24-Month Total Payment</t>
  </si>
  <si>
    <t>currentPITI + (arrears / 24)</t>
  </si>
  <si>
    <t>$1,400 + ($6,000/24) = $1,650</t>
  </si>
  <si>
    <t>Total pmt &lt;= 150% PITI AND &lt;= 40% GMI</t>
  </si>
  <si>
    <t>Repayment Plan affordability test</t>
  </si>
  <si>
    <t>RPP 150% PITI Hard Cap</t>
  </si>
  <si>
    <t>currentPITI * 1.50</t>
  </si>
  <si>
    <t>$1,400 * 1.50 = $2,100</t>
  </si>
  <si>
    <t>RPP total pmt &lt;= $2,100</t>
  </si>
  <si>
    <t>Hard cap - cannot exceed regardless of ability to pay</t>
  </si>
  <si>
    <t>Forbearance 6-Month Payment</t>
  </si>
  <si>
    <t>currentPITI + (arrears / 6)</t>
  </si>
  <si>
    <t>$1,400 + ($6,000/6) = $2,400</t>
  </si>
  <si>
    <t>DTI &lt;= 40%</t>
  </si>
  <si>
    <t>Used for formal forbearance 6-month ability test</t>
  </si>
  <si>
    <t>OWL P&amp;I Reduction</t>
  </si>
  <si>
    <t>currentPI - newPI (PMMS+25bps @ 360mo)</t>
  </si>
  <si>
    <t>$1,100 - $1,020 = $80</t>
  </si>
  <si>
    <t>ML 2024-24</t>
  </si>
  <si>
    <t>&gt;= $1.00 monthly</t>
  </si>
  <si>
    <t>Minimum meaningful benefit threshold</t>
  </si>
  <si>
    <t>DTI Check</t>
  </si>
  <si>
    <t>total payment / gross monthly income</t>
  </si>
  <si>
    <t>$1,650 / $5,000 = 33%</t>
  </si>
  <si>
    <t>Applied to mods and repayment plans</t>
  </si>
  <si>
    <t>FHA Net Value for PFS</t>
  </si>
  <si>
    <t>appraised value * 0.88</t>
  </si>
  <si>
    <t>$220,000 * 0.88 = $193,600</t>
  </si>
  <si>
    <t>HUD 4000.1 Sec III.A.2.l</t>
  </si>
  <si>
    <t>Net proceeds &gt;= FHA Net Value</t>
  </si>
  <si>
    <t>Minimum seller receives in pre-foreclosure sale</t>
  </si>
  <si>
    <t>Arrears % of Original UPB</t>
  </si>
  <si>
    <t>arrearagesToCapitalize / originalUPB</t>
  </si>
  <si>
    <t>$80,000 / $250,000 = 32%</t>
  </si>
  <si>
    <t>&gt; 30% triggers alt eligibility path</t>
  </si>
  <si>
    <t>Alt path: allows combo mod if target pmt &lt;= 40% GMI even if PC cap exceeded</t>
  </si>
  <si>
    <t>Loan Age Calculation</t>
  </si>
  <si>
    <t>monthsBetween(noteDate OR firstPaymentDate, today OR approvalDate)</t>
  </si>
  <si>
    <t>Note: Jan 2024; Today: Mar 2026 = 26 months</t>
  </si>
  <si>
    <t>Used for home retention minimum loan age gate</t>
  </si>
  <si>
    <t>FHA Home Retention Waterfall - Evaluation Order (ML 2025-06)</t>
  </si>
  <si>
    <t>Step</t>
  </si>
  <si>
    <t>Option</t>
  </si>
  <si>
    <t>Trigger Condition</t>
  </si>
  <si>
    <t>Proceed If (PASS)</t>
  </si>
  <si>
    <t>Skip to Next If (FAIL)</t>
  </si>
  <si>
    <t>1</t>
  </si>
  <si>
    <t>Hardship resolved; borrower can resume pre-hardship payment without modification</t>
  </si>
  <si>
    <t>Borrower CAN resume payment AND PC available within 30% statutory cap AND hb conditions met</t>
  </si>
  <si>
    <t>Borrower CANNOT resume payment -&gt; go to Step 2</t>
  </si>
  <si>
    <t>2</t>
  </si>
  <si>
    <t>FHA 30-Year Standalone Modification</t>
  </si>
  <si>
    <t>Borrower cannot resume pre-hardship payment; needs payment reduced</t>
  </si>
  <si>
    <t>PMMS+25bps @ 360 mo achieves &gt;= 25% P&amp;I reduction AND hb conditions met</t>
  </si>
  <si>
    <t>PITI_360 &gt; target (cannot achieve 25% reduction at 30-yr) -&gt; go to Step 3</t>
  </si>
  <si>
    <t>3</t>
  </si>
  <si>
    <t>FHA 40-Year Combo Mod + Partial Claim</t>
  </si>
  <si>
    <t>30-yr mod cannot achieve target; needs longer amortization + principal deferral</t>
  </si>
  <si>
    <t>PMMS flat @ 480 mo achieves target AND PC+mod within 30% cap AND new UPB &lt;= original UPB</t>
  </si>
  <si>
    <t>Cannot achieve at 480 mo OR PC cap exceeded -&gt; go to Step 4</t>
  </si>
  <si>
    <t>4</t>
  </si>
  <si>
    <t>Both 30-yr and 40-yr combo exhausted; borrower needs monthly subsidy</t>
  </si>
  <si>
    <t>Combo pmt &lt;= 40% GMI AND PC within cap AND prior PS &gt;= 36 mo ago AND borrower responsive</t>
  </si>
  <si>
    <t>All home retention exhausted -&gt; consider PFS/DIL or OWL (if unresponsive)</t>
  </si>
  <si>
    <t>--</t>
  </si>
  <si>
    <t>OWL Modification (parallel track - any stage)</t>
  </si>
  <si>
    <t>Borrower unresponsive; all required contact attempts exhausted per ML 2025-14</t>
  </si>
  <si>
    <t>PMMS+25bps @ 360 mo achieves &gt;= $1.00 P&amp;I reduction AND DLQ &gt;= 3 mo</t>
  </si>
  <si>
    <t>Rate achieves &lt;$1 reduction - modification has no benefit</t>
  </si>
  <si>
    <t>NOTE: Disaster hardships always route to the Disaster Loan Modification or Disaster Standalone PC tracks - not through the standard waterfall above. Disaster programs evaluate separately based on verifiedDisaster flag.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</si>
</sst>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9"/>
      <color rgb="FF1E3A5F"/>
      <name val="Calibri"/>
    </font>
    <font>
      <sz val="9"/>
      <color rgb="FF111827"/>
      <name val="Calibri"/>
    </font>
    <font>
      <b/>
      <sz val="10"/>
      <color rgb="FFFFFFFF"/>
      <name val="Calibri"/>
    </font>
    <font>
      <b/>
      <sz val="9"/>
      <color rgb="FF111827"/>
      <name val="Calibri"/>
    </font>
    <font>
      <i/>
      <sz val="9"/>
      <color rgb="FF713F12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2D5FA6"/>
      </patternFill>
    </fill>
    <fill>
      <patternFill patternType="solid">
        <fgColor rgb="FFECFDF5"/>
      </patternFill>
    </fill>
    <fill>
      <patternFill patternType="solid">
        <fgColor rgb="FFEFF6FF"/>
      </patternFill>
    </fill>
    <fill>
      <patternFill patternType="solid">
        <fgColor rgb="FFFFF7ED"/>
      </patternFill>
    </fill>
    <fill>
      <patternFill patternType="solid">
        <fgColor rgb="FFFEFCE8"/>
      </patternFill>
    </fill>
    <fill>
      <patternFill patternType="solid">
        <fgColor rgb="FFF5F3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6" borderId="0" xfId="0" applyFont="1" applyFill="1" applyAlignment="1">
      <alignment horizontal="left" vertical="center" indent="1"/>
    </xf>
    <xf numFmtId="0" fontId="6" fillId="1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pane ySplit="2" topLeftCell="A3" activePane="bottomLeft" state="frozen"/>
      <selection pane="bottomLeft" sqref="A1:F1"/>
    </sheetView>
  </sheetViews>
  <sheetFormatPr defaultRowHeight="14.5" x14ac:dyDescent="0.35"/>
  <cols>
    <col min="1" max="1" width="28" customWidth="1"/>
    <col min="2" max="2" width="18" customWidth="1"/>
    <col min="3" max="3" width="22" customWidth="1"/>
    <col min="4" max="5" width="34" customWidth="1"/>
    <col min="6" max="6" width="30" customWidth="1"/>
  </cols>
  <sheetData>
    <row r="1" spans="1:6" ht="22" customHeight="1" x14ac:dyDescent="0.35">
      <c r="A1" s="14" t="s">
        <v>0</v>
      </c>
      <c r="B1" s="15"/>
      <c r="C1" s="15"/>
      <c r="D1" s="15"/>
      <c r="E1" s="15"/>
      <c r="F1" s="15"/>
    </row>
    <row r="2" spans="1:6" ht="20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52" customHeight="1" x14ac:dyDescent="0.35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ht="52" customHeight="1" x14ac:dyDescent="0.3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ht="52" customHeight="1" x14ac:dyDescent="0.35">
      <c r="A5" s="2" t="s">
        <v>19</v>
      </c>
      <c r="B5" s="2" t="s">
        <v>14</v>
      </c>
      <c r="C5" s="2" t="s">
        <v>20</v>
      </c>
      <c r="D5" s="2" t="s">
        <v>21</v>
      </c>
      <c r="E5" s="2" t="s">
        <v>22</v>
      </c>
      <c r="F5" s="2" t="s">
        <v>23</v>
      </c>
    </row>
    <row r="6" spans="1:6" ht="52" customHeight="1" x14ac:dyDescent="0.35">
      <c r="A6" s="3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</row>
    <row r="7" spans="1:6" ht="52" customHeight="1" x14ac:dyDescent="0.3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</row>
    <row r="8" spans="1:6" ht="52" customHeight="1" x14ac:dyDescent="0.35">
      <c r="A8" s="3" t="s">
        <v>36</v>
      </c>
      <c r="B8" s="3" t="s">
        <v>31</v>
      </c>
      <c r="C8" s="3" t="s">
        <v>37</v>
      </c>
      <c r="D8" s="3" t="s">
        <v>38</v>
      </c>
      <c r="E8" s="3" t="s">
        <v>39</v>
      </c>
      <c r="F8" s="3" t="s">
        <v>35</v>
      </c>
    </row>
    <row r="9" spans="1:6" ht="52" customHeight="1" x14ac:dyDescent="0.35">
      <c r="A9" s="2" t="s">
        <v>40</v>
      </c>
      <c r="B9" s="2" t="s">
        <v>31</v>
      </c>
      <c r="C9" s="2" t="s">
        <v>41</v>
      </c>
      <c r="D9" s="2" t="s">
        <v>42</v>
      </c>
      <c r="E9" s="2" t="s">
        <v>43</v>
      </c>
      <c r="F9" s="2" t="s">
        <v>35</v>
      </c>
    </row>
    <row r="10" spans="1:6" ht="52" customHeight="1" x14ac:dyDescent="0.35">
      <c r="A10" s="3" t="s">
        <v>44</v>
      </c>
      <c r="B10" s="3" t="s">
        <v>45</v>
      </c>
      <c r="C10" s="3" t="s">
        <v>46</v>
      </c>
      <c r="D10" s="3" t="s">
        <v>47</v>
      </c>
      <c r="E10" s="3" t="s">
        <v>48</v>
      </c>
      <c r="F10" s="3" t="s">
        <v>49</v>
      </c>
    </row>
    <row r="11" spans="1:6" ht="52" customHeight="1" x14ac:dyDescent="0.3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55</v>
      </c>
    </row>
    <row r="12" spans="1:6" ht="52" customHeight="1" x14ac:dyDescent="0.35">
      <c r="A12" s="3" t="s">
        <v>56</v>
      </c>
      <c r="B12" s="3" t="s">
        <v>57</v>
      </c>
      <c r="C12" s="3" t="s">
        <v>58</v>
      </c>
      <c r="D12" s="3" t="s">
        <v>59</v>
      </c>
      <c r="E12" s="3" t="s">
        <v>60</v>
      </c>
      <c r="F12" s="3" t="s">
        <v>61</v>
      </c>
    </row>
    <row r="13" spans="1:6" ht="52" customHeight="1" x14ac:dyDescent="0.35">
      <c r="A13" s="2" t="s">
        <v>62</v>
      </c>
      <c r="B13" s="2" t="s">
        <v>57</v>
      </c>
      <c r="C13" s="2" t="s">
        <v>63</v>
      </c>
      <c r="D13" s="2" t="s">
        <v>64</v>
      </c>
      <c r="E13" s="2" t="s">
        <v>65</v>
      </c>
      <c r="F13" s="2" t="s">
        <v>66</v>
      </c>
    </row>
    <row r="14" spans="1:6" ht="52" customHeight="1" x14ac:dyDescent="0.35">
      <c r="A14" s="3" t="s">
        <v>67</v>
      </c>
      <c r="B14" s="3" t="s">
        <v>68</v>
      </c>
      <c r="C14" s="3" t="s">
        <v>69</v>
      </c>
      <c r="D14" s="3" t="s">
        <v>70</v>
      </c>
      <c r="E14" s="3" t="s">
        <v>71</v>
      </c>
      <c r="F14" s="3" t="s">
        <v>72</v>
      </c>
    </row>
    <row r="15" spans="1:6" ht="52" customHeight="1" x14ac:dyDescent="0.35">
      <c r="A15" s="2" t="s">
        <v>73</v>
      </c>
      <c r="B15" s="2" t="s">
        <v>68</v>
      </c>
      <c r="C15" s="2" t="s">
        <v>74</v>
      </c>
      <c r="D15" s="2" t="s">
        <v>75</v>
      </c>
      <c r="E15" s="2" t="s">
        <v>76</v>
      </c>
      <c r="F15" s="2" t="s">
        <v>77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2"/>
  <sheetViews>
    <sheetView workbookViewId="0">
      <pane ySplit="2" topLeftCell="A3" activePane="bottomLeft" state="frozen"/>
      <selection pane="bottomLeft" sqref="A1:F1"/>
    </sheetView>
  </sheetViews>
  <sheetFormatPr defaultRowHeight="14.5" x14ac:dyDescent="0.35"/>
  <cols>
    <col min="1" max="1" width="28" customWidth="1"/>
    <col min="2" max="2" width="24" customWidth="1"/>
    <col min="3" max="4" width="20" customWidth="1"/>
    <col min="5" max="5" width="28" customWidth="1"/>
    <col min="6" max="6" width="32" customWidth="1"/>
  </cols>
  <sheetData>
    <row r="1" spans="1:6" ht="22" customHeight="1" x14ac:dyDescent="0.35">
      <c r="A1" s="14" t="s">
        <v>78</v>
      </c>
      <c r="B1" s="15"/>
      <c r="C1" s="15"/>
      <c r="D1" s="15"/>
      <c r="E1" s="15"/>
      <c r="F1" s="15"/>
    </row>
    <row r="2" spans="1:6" ht="20" customHeight="1" x14ac:dyDescent="0.35">
      <c r="A2" s="1" t="s">
        <v>1</v>
      </c>
      <c r="B2" s="1" t="s">
        <v>79</v>
      </c>
      <c r="C2" s="1" t="s">
        <v>80</v>
      </c>
      <c r="D2" s="1" t="s">
        <v>81</v>
      </c>
      <c r="E2" s="1" t="s">
        <v>82</v>
      </c>
      <c r="F2" s="1" t="s">
        <v>83</v>
      </c>
    </row>
    <row r="3" spans="1:6" ht="18" customHeight="1" x14ac:dyDescent="0.35">
      <c r="A3" s="16" t="s">
        <v>84</v>
      </c>
      <c r="B3" s="15"/>
      <c r="C3" s="15"/>
      <c r="D3" s="15"/>
      <c r="E3" s="15"/>
      <c r="F3" s="15"/>
    </row>
    <row r="4" spans="1:6" ht="30" customHeight="1" x14ac:dyDescent="0.35">
      <c r="A4" s="2" t="s">
        <v>85</v>
      </c>
      <c r="B4" s="2" t="s">
        <v>86</v>
      </c>
      <c r="C4" s="2" t="s">
        <v>87</v>
      </c>
      <c r="D4" s="2" t="e">
        <f>Owner Occupied</f>
        <v>#NAME?</v>
      </c>
      <c r="E4" s="2" t="s">
        <v>88</v>
      </c>
      <c r="F4" s="2" t="s">
        <v>89</v>
      </c>
    </row>
    <row r="5" spans="1:6" ht="30" customHeight="1" x14ac:dyDescent="0.35">
      <c r="A5" s="3" t="s">
        <v>85</v>
      </c>
      <c r="B5" s="3" t="s">
        <v>90</v>
      </c>
      <c r="C5" s="3" t="s">
        <v>91</v>
      </c>
      <c r="D5" s="3" t="b">
        <f>FALSE</f>
        <v>0</v>
      </c>
      <c r="E5" s="3" t="s">
        <v>92</v>
      </c>
      <c r="F5" s="3" t="s">
        <v>93</v>
      </c>
    </row>
    <row r="6" spans="1:6" ht="30" customHeight="1" x14ac:dyDescent="0.35">
      <c r="A6" s="2" t="s">
        <v>85</v>
      </c>
      <c r="B6" s="2" t="s">
        <v>94</v>
      </c>
      <c r="C6" s="2" t="s">
        <v>95</v>
      </c>
      <c r="D6" s="2" t="s">
        <v>96</v>
      </c>
      <c r="E6" s="2" t="s">
        <v>97</v>
      </c>
      <c r="F6" s="2" t="s">
        <v>98</v>
      </c>
    </row>
    <row r="7" spans="1:6" ht="30" customHeight="1" x14ac:dyDescent="0.35">
      <c r="A7" s="3" t="s">
        <v>85</v>
      </c>
      <c r="B7" s="3" t="s">
        <v>99</v>
      </c>
      <c r="C7" s="3" t="s">
        <v>100</v>
      </c>
      <c r="D7" s="3" t="e">
        <f>Principal Residence</f>
        <v>#NAME?</v>
      </c>
      <c r="E7" s="3" t="s">
        <v>101</v>
      </c>
      <c r="F7" s="3" t="s">
        <v>102</v>
      </c>
    </row>
    <row r="8" spans="1:6" ht="30" customHeight="1" x14ac:dyDescent="0.35">
      <c r="A8" s="2" t="s">
        <v>85</v>
      </c>
      <c r="B8" s="2" t="s">
        <v>103</v>
      </c>
      <c r="C8" s="2" t="s">
        <v>104</v>
      </c>
      <c r="D8" s="2" t="e">
        <f>First</f>
        <v>#NAME?</v>
      </c>
      <c r="E8" s="2" t="s">
        <v>105</v>
      </c>
      <c r="F8" s="2" t="s">
        <v>106</v>
      </c>
    </row>
    <row r="9" spans="1:6" ht="18" customHeight="1" x14ac:dyDescent="0.35">
      <c r="A9" s="16" t="s">
        <v>107</v>
      </c>
      <c r="B9" s="15"/>
      <c r="C9" s="15"/>
      <c r="D9" s="15"/>
      <c r="E9" s="15"/>
      <c r="F9" s="15"/>
    </row>
    <row r="10" spans="1:6" ht="30" customHeight="1" x14ac:dyDescent="0.35">
      <c r="A10" s="3" t="s">
        <v>13</v>
      </c>
      <c r="B10" s="3" t="s">
        <v>108</v>
      </c>
      <c r="C10" s="3" t="s">
        <v>109</v>
      </c>
      <c r="D10" s="3" t="s">
        <v>110</v>
      </c>
      <c r="E10" s="3" t="s">
        <v>111</v>
      </c>
      <c r="F10" s="3" t="s">
        <v>112</v>
      </c>
    </row>
    <row r="11" spans="1:6" ht="30" customHeight="1" x14ac:dyDescent="0.35">
      <c r="A11" s="2" t="s">
        <v>13</v>
      </c>
      <c r="B11" s="2" t="s">
        <v>113</v>
      </c>
      <c r="C11" s="2" t="s">
        <v>114</v>
      </c>
      <c r="D11" s="2" t="s">
        <v>115</v>
      </c>
      <c r="E11" s="2" t="s">
        <v>116</v>
      </c>
      <c r="F11" s="2" t="s">
        <v>117</v>
      </c>
    </row>
    <row r="12" spans="1:6" ht="30" customHeight="1" x14ac:dyDescent="0.35">
      <c r="A12" s="3" t="s">
        <v>13</v>
      </c>
      <c r="B12" s="3" t="s">
        <v>118</v>
      </c>
      <c r="C12" s="3" t="s">
        <v>119</v>
      </c>
      <c r="D12" s="3" t="s">
        <v>120</v>
      </c>
      <c r="E12" s="3" t="s">
        <v>121</v>
      </c>
      <c r="F12" s="3" t="s">
        <v>122</v>
      </c>
    </row>
    <row r="13" spans="1:6" ht="30" customHeight="1" x14ac:dyDescent="0.35">
      <c r="A13" s="2" t="s">
        <v>13</v>
      </c>
      <c r="B13" s="2" t="s">
        <v>123</v>
      </c>
      <c r="C13" s="2" t="s">
        <v>124</v>
      </c>
      <c r="D13" s="2" t="s">
        <v>125</v>
      </c>
      <c r="E13" s="2" t="s">
        <v>126</v>
      </c>
      <c r="F13" s="2" t="s">
        <v>127</v>
      </c>
    </row>
    <row r="14" spans="1:6" ht="30" customHeight="1" x14ac:dyDescent="0.35">
      <c r="A14" s="3" t="s">
        <v>13</v>
      </c>
      <c r="B14" s="3" t="s">
        <v>128</v>
      </c>
      <c r="C14" s="3" t="s">
        <v>129</v>
      </c>
      <c r="D14" s="3" t="b">
        <f>FALSE</f>
        <v>0</v>
      </c>
      <c r="E14" s="3" t="s">
        <v>130</v>
      </c>
      <c r="F14" s="3" t="s">
        <v>131</v>
      </c>
    </row>
    <row r="15" spans="1:6" ht="30" customHeight="1" x14ac:dyDescent="0.35">
      <c r="A15" s="2" t="s">
        <v>13</v>
      </c>
      <c r="B15" s="2" t="s">
        <v>132</v>
      </c>
      <c r="C15" s="2" t="s">
        <v>133</v>
      </c>
      <c r="D15" s="2" t="b">
        <f>FALSE</f>
        <v>0</v>
      </c>
      <c r="E15" s="2" t="s">
        <v>134</v>
      </c>
      <c r="F15" s="2" t="s">
        <v>135</v>
      </c>
    </row>
    <row r="16" spans="1:6" ht="18" customHeight="1" x14ac:dyDescent="0.35">
      <c r="A16" s="16" t="s">
        <v>136</v>
      </c>
      <c r="B16" s="15"/>
      <c r="C16" s="15"/>
      <c r="D16" s="15"/>
      <c r="E16" s="15"/>
      <c r="F16" s="15"/>
    </row>
    <row r="17" spans="1:6" ht="30" customHeight="1" x14ac:dyDescent="0.35">
      <c r="A17" s="3" t="s">
        <v>19</v>
      </c>
      <c r="B17" s="3" t="s">
        <v>108</v>
      </c>
      <c r="C17" s="3" t="s">
        <v>109</v>
      </c>
      <c r="D17" s="3" t="s">
        <v>110</v>
      </c>
      <c r="E17" s="3" t="s">
        <v>111</v>
      </c>
      <c r="F17" s="3" t="s">
        <v>137</v>
      </c>
    </row>
    <row r="18" spans="1:6" ht="30" customHeight="1" x14ac:dyDescent="0.35">
      <c r="A18" s="2" t="s">
        <v>19</v>
      </c>
      <c r="B18" s="2" t="s">
        <v>113</v>
      </c>
      <c r="C18" s="2" t="s">
        <v>114</v>
      </c>
      <c r="D18" s="2" t="s">
        <v>138</v>
      </c>
      <c r="E18" s="2" t="s">
        <v>139</v>
      </c>
      <c r="F18" s="2" t="s">
        <v>140</v>
      </c>
    </row>
    <row r="19" spans="1:6" ht="30" customHeight="1" x14ac:dyDescent="0.35">
      <c r="A19" s="3" t="s">
        <v>19</v>
      </c>
      <c r="B19" s="3" t="s">
        <v>141</v>
      </c>
      <c r="C19" s="3" t="s">
        <v>142</v>
      </c>
      <c r="D19" s="3" t="s">
        <v>143</v>
      </c>
      <c r="E19" s="3" t="s">
        <v>144</v>
      </c>
      <c r="F19" s="3" t="s">
        <v>145</v>
      </c>
    </row>
    <row r="20" spans="1:6" ht="30" customHeight="1" x14ac:dyDescent="0.35">
      <c r="A20" s="2" t="s">
        <v>19</v>
      </c>
      <c r="B20" s="2" t="s">
        <v>132</v>
      </c>
      <c r="C20" s="2" t="s">
        <v>133</v>
      </c>
      <c r="D20" s="2" t="b">
        <f>FALSE</f>
        <v>0</v>
      </c>
      <c r="E20" s="2" t="s">
        <v>146</v>
      </c>
      <c r="F20" s="2" t="s">
        <v>147</v>
      </c>
    </row>
    <row r="21" spans="1:6" ht="18" customHeight="1" x14ac:dyDescent="0.35">
      <c r="A21" s="16" t="s">
        <v>148</v>
      </c>
      <c r="B21" s="15"/>
      <c r="C21" s="15"/>
      <c r="D21" s="15"/>
      <c r="E21" s="15"/>
      <c r="F21" s="15"/>
    </row>
    <row r="22" spans="1:6" ht="30" customHeight="1" x14ac:dyDescent="0.35">
      <c r="A22" s="3" t="s">
        <v>149</v>
      </c>
      <c r="B22" s="3" t="s">
        <v>150</v>
      </c>
      <c r="C22" s="3" t="s">
        <v>114</v>
      </c>
      <c r="D22" s="3" t="s">
        <v>151</v>
      </c>
      <c r="E22" s="3" t="s">
        <v>152</v>
      </c>
      <c r="F22" s="3" t="s">
        <v>153</v>
      </c>
    </row>
    <row r="23" spans="1:6" ht="30" customHeight="1" x14ac:dyDescent="0.35">
      <c r="A23" s="2" t="s">
        <v>149</v>
      </c>
      <c r="B23" s="2" t="s">
        <v>154</v>
      </c>
      <c r="C23" s="2" t="s">
        <v>114</v>
      </c>
      <c r="D23" s="2" t="s">
        <v>115</v>
      </c>
      <c r="E23" s="2" t="s">
        <v>152</v>
      </c>
      <c r="F23" s="2" t="s">
        <v>117</v>
      </c>
    </row>
    <row r="24" spans="1:6" ht="30" customHeight="1" x14ac:dyDescent="0.35">
      <c r="A24" s="3" t="s">
        <v>149</v>
      </c>
      <c r="B24" s="3" t="s">
        <v>155</v>
      </c>
      <c r="C24" s="3" t="s">
        <v>156</v>
      </c>
      <c r="D24" s="3" t="s">
        <v>157</v>
      </c>
      <c r="E24" s="3" t="s">
        <v>158</v>
      </c>
      <c r="F24" s="3" t="s">
        <v>159</v>
      </c>
    </row>
    <row r="25" spans="1:6" ht="30" customHeight="1" x14ac:dyDescent="0.35">
      <c r="A25" s="2" t="s">
        <v>149</v>
      </c>
      <c r="B25" s="2" t="s">
        <v>160</v>
      </c>
      <c r="C25" s="2" t="s">
        <v>161</v>
      </c>
      <c r="D25" s="2"/>
      <c r="E25" s="2" t="s">
        <v>162</v>
      </c>
      <c r="F25" s="2" t="s">
        <v>163</v>
      </c>
    </row>
    <row r="26" spans="1:6" ht="30" customHeight="1" x14ac:dyDescent="0.35">
      <c r="A26" s="3" t="s">
        <v>149</v>
      </c>
      <c r="B26" s="3" t="s">
        <v>108</v>
      </c>
      <c r="C26" s="3" t="s">
        <v>109</v>
      </c>
      <c r="D26" s="3" t="s">
        <v>164</v>
      </c>
      <c r="E26" s="3" t="s">
        <v>165</v>
      </c>
      <c r="F26" s="3" t="s">
        <v>166</v>
      </c>
    </row>
    <row r="27" spans="1:6" ht="30" customHeight="1" x14ac:dyDescent="0.35">
      <c r="A27" s="2" t="s">
        <v>149</v>
      </c>
      <c r="B27" s="2" t="s">
        <v>167</v>
      </c>
      <c r="C27" s="2" t="s">
        <v>168</v>
      </c>
      <c r="D27" s="2"/>
      <c r="E27" s="2" t="s">
        <v>169</v>
      </c>
      <c r="F27" s="2" t="s">
        <v>170</v>
      </c>
    </row>
    <row r="28" spans="1:6" ht="18" customHeight="1" x14ac:dyDescent="0.35">
      <c r="A28" s="16" t="s">
        <v>171</v>
      </c>
      <c r="B28" s="15"/>
      <c r="C28" s="15"/>
      <c r="D28" s="15"/>
      <c r="E28" s="15"/>
      <c r="F28" s="15"/>
    </row>
    <row r="29" spans="1:6" ht="30" customHeight="1" x14ac:dyDescent="0.35">
      <c r="A29" s="3" t="s">
        <v>172</v>
      </c>
      <c r="B29" s="3" t="s">
        <v>173</v>
      </c>
      <c r="C29" s="3" t="s">
        <v>174</v>
      </c>
      <c r="D29" s="3" t="b">
        <f>TRUE</f>
        <v>1</v>
      </c>
      <c r="E29" s="3" t="s">
        <v>175</v>
      </c>
      <c r="F29" s="3" t="s">
        <v>176</v>
      </c>
    </row>
    <row r="30" spans="1:6" ht="30" customHeight="1" x14ac:dyDescent="0.35">
      <c r="A30" s="2" t="s">
        <v>172</v>
      </c>
      <c r="B30" s="2" t="s">
        <v>177</v>
      </c>
      <c r="C30" s="2" t="s">
        <v>178</v>
      </c>
      <c r="D30" s="2" t="s">
        <v>179</v>
      </c>
      <c r="E30" s="2" t="s">
        <v>180</v>
      </c>
      <c r="F30" s="2" t="s">
        <v>181</v>
      </c>
    </row>
    <row r="31" spans="1:6" ht="18" customHeight="1" x14ac:dyDescent="0.35">
      <c r="A31" s="16" t="s">
        <v>182</v>
      </c>
      <c r="B31" s="15"/>
      <c r="C31" s="15"/>
      <c r="D31" s="15"/>
      <c r="E31" s="15"/>
      <c r="F31" s="15"/>
    </row>
    <row r="32" spans="1:6" ht="30" customHeight="1" x14ac:dyDescent="0.35">
      <c r="A32" s="3" t="s">
        <v>183</v>
      </c>
      <c r="B32" s="3" t="s">
        <v>184</v>
      </c>
      <c r="C32" s="3" t="s">
        <v>185</v>
      </c>
      <c r="D32" s="3" t="s">
        <v>186</v>
      </c>
      <c r="E32" s="3" t="s">
        <v>187</v>
      </c>
      <c r="F32" s="3" t="s">
        <v>188</v>
      </c>
    </row>
    <row r="33" spans="1:6" ht="30" customHeight="1" x14ac:dyDescent="0.35">
      <c r="A33" s="2" t="s">
        <v>183</v>
      </c>
      <c r="B33" s="2" t="s">
        <v>189</v>
      </c>
      <c r="C33" s="2" t="s">
        <v>190</v>
      </c>
      <c r="D33" s="2" t="s">
        <v>191</v>
      </c>
      <c r="E33" s="2" t="s">
        <v>192</v>
      </c>
      <c r="F33" s="2" t="s">
        <v>193</v>
      </c>
    </row>
    <row r="34" spans="1:6" ht="18" customHeight="1" x14ac:dyDescent="0.35">
      <c r="A34" s="16" t="s">
        <v>194</v>
      </c>
      <c r="B34" s="15"/>
      <c r="C34" s="15"/>
      <c r="D34" s="15"/>
      <c r="E34" s="15"/>
      <c r="F34" s="15"/>
    </row>
    <row r="35" spans="1:6" ht="30" customHeight="1" x14ac:dyDescent="0.35">
      <c r="A35" s="3" t="s">
        <v>195</v>
      </c>
      <c r="B35" s="3" t="s">
        <v>196</v>
      </c>
      <c r="C35" s="3" t="s">
        <v>197</v>
      </c>
      <c r="D35" s="3" t="s">
        <v>198</v>
      </c>
      <c r="E35" s="3" t="s">
        <v>199</v>
      </c>
      <c r="F35" s="3" t="s">
        <v>200</v>
      </c>
    </row>
    <row r="36" spans="1:6" ht="30" customHeight="1" x14ac:dyDescent="0.35">
      <c r="A36" s="2" t="s">
        <v>195</v>
      </c>
      <c r="B36" s="2" t="s">
        <v>201</v>
      </c>
      <c r="C36" s="2" t="s">
        <v>202</v>
      </c>
      <c r="D36" s="2" t="s">
        <v>203</v>
      </c>
      <c r="E36" s="2" t="s">
        <v>204</v>
      </c>
      <c r="F36" s="2" t="s">
        <v>205</v>
      </c>
    </row>
    <row r="37" spans="1:6" ht="30" customHeight="1" x14ac:dyDescent="0.35">
      <c r="A37" s="3" t="s">
        <v>195</v>
      </c>
      <c r="B37" s="3" t="s">
        <v>206</v>
      </c>
      <c r="C37" s="3" t="s">
        <v>185</v>
      </c>
      <c r="D37" s="3" t="s">
        <v>207</v>
      </c>
      <c r="E37" s="3" t="s">
        <v>208</v>
      </c>
      <c r="F37" s="3" t="s">
        <v>209</v>
      </c>
    </row>
    <row r="38" spans="1:6" ht="30" customHeight="1" x14ac:dyDescent="0.35">
      <c r="A38" s="2" t="s">
        <v>195</v>
      </c>
      <c r="B38" s="2" t="s">
        <v>210</v>
      </c>
      <c r="C38" s="2" t="s">
        <v>211</v>
      </c>
      <c r="D38" s="2" t="s">
        <v>212</v>
      </c>
      <c r="E38" s="2" t="s">
        <v>213</v>
      </c>
      <c r="F38" s="2" t="s">
        <v>214</v>
      </c>
    </row>
    <row r="39" spans="1:6" ht="30" customHeight="1" x14ac:dyDescent="0.35">
      <c r="A39" s="3" t="s">
        <v>195</v>
      </c>
      <c r="B39" s="3" t="s">
        <v>215</v>
      </c>
      <c r="C39" s="3" t="s">
        <v>216</v>
      </c>
      <c r="D39" s="3" t="s">
        <v>217</v>
      </c>
      <c r="E39" s="3" t="s">
        <v>218</v>
      </c>
      <c r="F39" s="3" t="s">
        <v>219</v>
      </c>
    </row>
    <row r="40" spans="1:6" ht="18" customHeight="1" x14ac:dyDescent="0.35">
      <c r="A40" s="16" t="s">
        <v>220</v>
      </c>
      <c r="B40" s="15"/>
      <c r="C40" s="15"/>
      <c r="D40" s="15"/>
      <c r="E40" s="15"/>
      <c r="F40" s="15"/>
    </row>
    <row r="41" spans="1:6" ht="30" customHeight="1" x14ac:dyDescent="0.35">
      <c r="A41" s="2" t="s">
        <v>44</v>
      </c>
      <c r="B41" s="2" t="s">
        <v>221</v>
      </c>
      <c r="C41" s="2" t="s">
        <v>222</v>
      </c>
      <c r="D41" s="2" t="s">
        <v>223</v>
      </c>
      <c r="E41" s="2" t="s">
        <v>224</v>
      </c>
      <c r="F41" s="2" t="s">
        <v>225</v>
      </c>
    </row>
    <row r="42" spans="1:6" ht="30" customHeight="1" x14ac:dyDescent="0.35">
      <c r="A42" s="3" t="s">
        <v>44</v>
      </c>
      <c r="B42" s="3" t="s">
        <v>226</v>
      </c>
      <c r="C42" s="3" t="s">
        <v>227</v>
      </c>
      <c r="D42" s="3" t="s">
        <v>228</v>
      </c>
      <c r="E42" s="3" t="s">
        <v>229</v>
      </c>
      <c r="F42" s="3" t="s">
        <v>230</v>
      </c>
    </row>
    <row r="43" spans="1:6" ht="30" customHeight="1" x14ac:dyDescent="0.35">
      <c r="A43" s="2" t="s">
        <v>44</v>
      </c>
      <c r="B43" s="2" t="s">
        <v>231</v>
      </c>
      <c r="C43" s="2" t="s">
        <v>232</v>
      </c>
      <c r="D43" s="2" t="s">
        <v>233</v>
      </c>
      <c r="E43" s="2" t="s">
        <v>234</v>
      </c>
      <c r="F43" s="2" t="s">
        <v>235</v>
      </c>
    </row>
    <row r="44" spans="1:6" ht="30" customHeight="1" x14ac:dyDescent="0.35">
      <c r="A44" s="3" t="s">
        <v>44</v>
      </c>
      <c r="B44" s="3" t="s">
        <v>236</v>
      </c>
      <c r="C44" s="3" t="s">
        <v>237</v>
      </c>
      <c r="D44" s="3"/>
      <c r="E44" s="3" t="s">
        <v>238</v>
      </c>
      <c r="F44" s="3" t="s">
        <v>239</v>
      </c>
    </row>
    <row r="45" spans="1:6" ht="30" customHeight="1" x14ac:dyDescent="0.35">
      <c r="A45" s="2" t="s">
        <v>44</v>
      </c>
      <c r="B45" s="2" t="s">
        <v>132</v>
      </c>
      <c r="C45" s="2" t="s">
        <v>133</v>
      </c>
      <c r="D45" s="2" t="b">
        <f>FALSE</f>
        <v>0</v>
      </c>
      <c r="E45" s="2" t="s">
        <v>240</v>
      </c>
      <c r="F45" s="2" t="s">
        <v>147</v>
      </c>
    </row>
    <row r="46" spans="1:6" ht="30" customHeight="1" x14ac:dyDescent="0.35">
      <c r="A46" s="3" t="s">
        <v>44</v>
      </c>
      <c r="B46" s="3" t="s">
        <v>150</v>
      </c>
      <c r="C46" s="3" t="s">
        <v>114</v>
      </c>
      <c r="D46" s="3" t="s">
        <v>241</v>
      </c>
      <c r="E46" s="3" t="s">
        <v>242</v>
      </c>
      <c r="F46" s="3" t="s">
        <v>243</v>
      </c>
    </row>
    <row r="47" spans="1:6" ht="18" customHeight="1" x14ac:dyDescent="0.35">
      <c r="A47" s="16" t="s">
        <v>244</v>
      </c>
      <c r="B47" s="15"/>
      <c r="C47" s="15"/>
      <c r="D47" s="15"/>
      <c r="E47" s="15"/>
      <c r="F47" s="15"/>
    </row>
    <row r="48" spans="1:6" ht="30" customHeight="1" x14ac:dyDescent="0.35">
      <c r="A48" s="2" t="s">
        <v>245</v>
      </c>
      <c r="B48" s="2" t="s">
        <v>246</v>
      </c>
      <c r="C48" s="2" t="s">
        <v>133</v>
      </c>
      <c r="D48" s="2" t="b">
        <f>TRUE</f>
        <v>1</v>
      </c>
      <c r="E48" s="2" t="s">
        <v>247</v>
      </c>
      <c r="F48" s="2" t="s">
        <v>248</v>
      </c>
    </row>
    <row r="49" spans="1:6" ht="30" customHeight="1" x14ac:dyDescent="0.35">
      <c r="A49" s="3" t="s">
        <v>245</v>
      </c>
      <c r="B49" s="3" t="s">
        <v>150</v>
      </c>
      <c r="C49" s="3" t="s">
        <v>114</v>
      </c>
      <c r="D49" s="3" t="s">
        <v>241</v>
      </c>
      <c r="E49" s="3" t="s">
        <v>242</v>
      </c>
      <c r="F49" s="3" t="s">
        <v>243</v>
      </c>
    </row>
    <row r="50" spans="1:6" ht="30" customHeight="1" x14ac:dyDescent="0.35">
      <c r="A50" s="2" t="s">
        <v>245</v>
      </c>
      <c r="B50" s="2" t="s">
        <v>108</v>
      </c>
      <c r="C50" s="2" t="s">
        <v>109</v>
      </c>
      <c r="D50" s="2" t="s">
        <v>110</v>
      </c>
      <c r="E50" s="2" t="s">
        <v>111</v>
      </c>
      <c r="F50" s="2" t="s">
        <v>137</v>
      </c>
    </row>
    <row r="51" spans="1:6" ht="30" customHeight="1" x14ac:dyDescent="0.35">
      <c r="A51" s="3" t="s">
        <v>245</v>
      </c>
      <c r="B51" s="3" t="s">
        <v>249</v>
      </c>
      <c r="C51" s="3" t="s">
        <v>250</v>
      </c>
      <c r="D51" s="3" t="s">
        <v>251</v>
      </c>
      <c r="E51" s="3" t="s">
        <v>252</v>
      </c>
      <c r="F51" s="3" t="s">
        <v>253</v>
      </c>
    </row>
    <row r="52" spans="1:6" ht="30" customHeight="1" x14ac:dyDescent="0.35">
      <c r="A52" s="2" t="s">
        <v>245</v>
      </c>
      <c r="B52" s="2" t="s">
        <v>254</v>
      </c>
      <c r="C52" s="2" t="s">
        <v>209</v>
      </c>
      <c r="D52" s="2" t="s">
        <v>255</v>
      </c>
      <c r="E52" s="2" t="s">
        <v>256</v>
      </c>
      <c r="F52" s="2" t="s">
        <v>257</v>
      </c>
    </row>
    <row r="53" spans="1:6" ht="30" customHeight="1" x14ac:dyDescent="0.35">
      <c r="A53" s="3" t="s">
        <v>245</v>
      </c>
      <c r="B53" s="3" t="s">
        <v>258</v>
      </c>
      <c r="C53" s="3" t="s">
        <v>209</v>
      </c>
      <c r="D53" s="3" t="s">
        <v>259</v>
      </c>
      <c r="E53" s="3" t="s">
        <v>260</v>
      </c>
      <c r="F53" s="3" t="s">
        <v>209</v>
      </c>
    </row>
    <row r="54" spans="1:6" ht="18" customHeight="1" x14ac:dyDescent="0.35">
      <c r="A54" s="16" t="s">
        <v>261</v>
      </c>
      <c r="B54" s="15"/>
      <c r="C54" s="15"/>
      <c r="D54" s="15"/>
      <c r="E54" s="15"/>
      <c r="F54" s="15"/>
    </row>
    <row r="55" spans="1:6" ht="30" customHeight="1" x14ac:dyDescent="0.35">
      <c r="A55" s="2" t="s">
        <v>262</v>
      </c>
      <c r="B55" s="2" t="s">
        <v>263</v>
      </c>
      <c r="C55" s="2" t="s">
        <v>264</v>
      </c>
      <c r="D55" s="2" t="b">
        <f>TRUE</f>
        <v>1</v>
      </c>
      <c r="E55" s="2" t="s">
        <v>265</v>
      </c>
      <c r="F55" s="2" t="s">
        <v>266</v>
      </c>
    </row>
    <row r="56" spans="1:6" ht="30" customHeight="1" x14ac:dyDescent="0.35">
      <c r="A56" s="3" t="s">
        <v>262</v>
      </c>
      <c r="B56" s="3" t="s">
        <v>267</v>
      </c>
      <c r="C56" s="3" t="s">
        <v>268</v>
      </c>
      <c r="D56" s="3" t="b">
        <f>TRUE</f>
        <v>1</v>
      </c>
      <c r="E56" s="3" t="s">
        <v>269</v>
      </c>
      <c r="F56" s="3" t="s">
        <v>270</v>
      </c>
    </row>
    <row r="57" spans="1:6" ht="30" customHeight="1" x14ac:dyDescent="0.35">
      <c r="A57" s="2" t="s">
        <v>262</v>
      </c>
      <c r="B57" s="2" t="s">
        <v>271</v>
      </c>
      <c r="C57" s="2" t="s">
        <v>272</v>
      </c>
      <c r="D57" s="2" t="b">
        <f>TRUE</f>
        <v>1</v>
      </c>
      <c r="E57" s="2" t="s">
        <v>273</v>
      </c>
      <c r="F57" s="2" t="s">
        <v>274</v>
      </c>
    </row>
    <row r="58" spans="1:6" ht="30" customHeight="1" x14ac:dyDescent="0.35">
      <c r="A58" s="3" t="s">
        <v>262</v>
      </c>
      <c r="B58" s="3" t="s">
        <v>275</v>
      </c>
      <c r="C58" s="3" t="s">
        <v>276</v>
      </c>
      <c r="D58" s="3" t="s">
        <v>277</v>
      </c>
      <c r="E58" s="3" t="s">
        <v>278</v>
      </c>
      <c r="F58" s="3" t="s">
        <v>279</v>
      </c>
    </row>
    <row r="59" spans="1:6" ht="30" customHeight="1" x14ac:dyDescent="0.35">
      <c r="A59" s="2" t="s">
        <v>262</v>
      </c>
      <c r="B59" s="2" t="s">
        <v>280</v>
      </c>
      <c r="C59" s="2" t="s">
        <v>114</v>
      </c>
      <c r="D59" s="2" t="s">
        <v>281</v>
      </c>
      <c r="E59" s="2" t="s">
        <v>282</v>
      </c>
      <c r="F59" s="2" t="s">
        <v>283</v>
      </c>
    </row>
    <row r="60" spans="1:6" ht="30" customHeight="1" x14ac:dyDescent="0.35">
      <c r="A60" s="3" t="s">
        <v>262</v>
      </c>
      <c r="B60" s="3" t="s">
        <v>284</v>
      </c>
      <c r="C60" s="3" t="s">
        <v>285</v>
      </c>
      <c r="D60" s="3" t="s">
        <v>286</v>
      </c>
      <c r="E60" s="3" t="s">
        <v>287</v>
      </c>
      <c r="F60" s="3" t="s">
        <v>288</v>
      </c>
    </row>
    <row r="61" spans="1:6" ht="30" customHeight="1" x14ac:dyDescent="0.35">
      <c r="A61" s="2" t="s">
        <v>262</v>
      </c>
      <c r="B61" s="2" t="s">
        <v>289</v>
      </c>
      <c r="C61" s="2" t="s">
        <v>290</v>
      </c>
      <c r="D61" s="2" t="s">
        <v>291</v>
      </c>
      <c r="E61" s="2" t="s">
        <v>292</v>
      </c>
      <c r="F61" s="2" t="s">
        <v>293</v>
      </c>
    </row>
    <row r="62" spans="1:6" ht="30" customHeight="1" x14ac:dyDescent="0.35">
      <c r="A62" s="3" t="s">
        <v>294</v>
      </c>
      <c r="B62" s="3" t="s">
        <v>295</v>
      </c>
      <c r="C62" s="3" t="s">
        <v>296</v>
      </c>
      <c r="D62" s="3" t="s">
        <v>297</v>
      </c>
      <c r="E62" s="3" t="s">
        <v>298</v>
      </c>
      <c r="F62" s="3" t="s">
        <v>299</v>
      </c>
    </row>
    <row r="63" spans="1:6" ht="30" customHeight="1" x14ac:dyDescent="0.35">
      <c r="A63" s="2" t="s">
        <v>300</v>
      </c>
      <c r="B63" s="2" t="s">
        <v>301</v>
      </c>
      <c r="C63" s="2" t="s">
        <v>197</v>
      </c>
      <c r="D63" s="2" t="s">
        <v>198</v>
      </c>
      <c r="E63" s="2" t="s">
        <v>302</v>
      </c>
      <c r="F63" s="2" t="s">
        <v>303</v>
      </c>
    </row>
    <row r="64" spans="1:6" ht="30" customHeight="1" x14ac:dyDescent="0.35">
      <c r="A64" s="3" t="s">
        <v>300</v>
      </c>
      <c r="B64" s="3" t="s">
        <v>231</v>
      </c>
      <c r="C64" s="3" t="s">
        <v>304</v>
      </c>
      <c r="D64" s="3" t="s">
        <v>233</v>
      </c>
      <c r="E64" s="3" t="s">
        <v>234</v>
      </c>
      <c r="F64" s="3" t="s">
        <v>235</v>
      </c>
    </row>
    <row r="65" spans="1:6" ht="18" customHeight="1" x14ac:dyDescent="0.35">
      <c r="A65" s="16" t="s">
        <v>305</v>
      </c>
      <c r="B65" s="15"/>
      <c r="C65" s="15"/>
      <c r="D65" s="15"/>
      <c r="E65" s="15"/>
      <c r="F65" s="15"/>
    </row>
    <row r="66" spans="1:6" ht="30" customHeight="1" x14ac:dyDescent="0.35">
      <c r="A66" s="2" t="s">
        <v>306</v>
      </c>
      <c r="B66" s="2" t="s">
        <v>167</v>
      </c>
      <c r="C66" s="2" t="s">
        <v>168</v>
      </c>
      <c r="D66" s="2"/>
      <c r="E66" s="2" t="s">
        <v>307</v>
      </c>
      <c r="F66" s="2" t="s">
        <v>169</v>
      </c>
    </row>
    <row r="67" spans="1:6" ht="30" customHeight="1" x14ac:dyDescent="0.35">
      <c r="A67" s="3" t="s">
        <v>306</v>
      </c>
      <c r="B67" s="3" t="s">
        <v>308</v>
      </c>
      <c r="C67" s="3" t="s">
        <v>109</v>
      </c>
      <c r="D67" s="3" t="s">
        <v>309</v>
      </c>
      <c r="E67" s="3" t="s">
        <v>310</v>
      </c>
      <c r="F67" s="3" t="s">
        <v>311</v>
      </c>
    </row>
    <row r="68" spans="1:6" ht="30" customHeight="1" x14ac:dyDescent="0.35">
      <c r="A68" s="2" t="s">
        <v>306</v>
      </c>
      <c r="B68" s="2" t="s">
        <v>312</v>
      </c>
      <c r="C68" s="2" t="s">
        <v>114</v>
      </c>
      <c r="D68" s="2" t="s">
        <v>313</v>
      </c>
      <c r="E68" s="2" t="s">
        <v>314</v>
      </c>
      <c r="F68" s="2" t="s">
        <v>315</v>
      </c>
    </row>
    <row r="69" spans="1:6" ht="30" customHeight="1" x14ac:dyDescent="0.35">
      <c r="A69" s="3" t="s">
        <v>306</v>
      </c>
      <c r="B69" s="3" t="s">
        <v>316</v>
      </c>
      <c r="C69" s="3" t="s">
        <v>317</v>
      </c>
      <c r="D69" s="3" t="s">
        <v>318</v>
      </c>
      <c r="E69" s="3" t="s">
        <v>319</v>
      </c>
      <c r="F69" s="3" t="s">
        <v>320</v>
      </c>
    </row>
    <row r="70" spans="1:6" ht="30" customHeight="1" x14ac:dyDescent="0.35">
      <c r="A70" s="2" t="s">
        <v>321</v>
      </c>
      <c r="B70" s="2" t="s">
        <v>322</v>
      </c>
      <c r="C70" s="2" t="s">
        <v>323</v>
      </c>
      <c r="D70" s="2" t="b">
        <f>TRUE</f>
        <v>1</v>
      </c>
      <c r="E70" s="2" t="s">
        <v>324</v>
      </c>
      <c r="F70" s="2" t="s">
        <v>325</v>
      </c>
    </row>
    <row r="71" spans="1:6" ht="30" customHeight="1" x14ac:dyDescent="0.35">
      <c r="A71" s="3" t="s">
        <v>321</v>
      </c>
      <c r="B71" s="3" t="s">
        <v>326</v>
      </c>
      <c r="C71" s="3" t="s">
        <v>327</v>
      </c>
      <c r="D71" s="3" t="s">
        <v>328</v>
      </c>
      <c r="E71" s="3" t="s">
        <v>329</v>
      </c>
      <c r="F71" s="3" t="s">
        <v>330</v>
      </c>
    </row>
    <row r="72" spans="1:6" ht="30" customHeight="1" x14ac:dyDescent="0.35">
      <c r="A72" s="2" t="s">
        <v>321</v>
      </c>
      <c r="B72" s="2" t="s">
        <v>331</v>
      </c>
      <c r="C72" s="2" t="s">
        <v>332</v>
      </c>
      <c r="D72" s="2" t="s">
        <v>333</v>
      </c>
      <c r="E72" s="2" t="s">
        <v>334</v>
      </c>
      <c r="F72" s="2" t="s">
        <v>335</v>
      </c>
    </row>
  </sheetData>
  <mergeCells count="12">
    <mergeCell ref="A65:F65"/>
    <mergeCell ref="A16:F16"/>
    <mergeCell ref="A54:F54"/>
    <mergeCell ref="A47:F47"/>
    <mergeCell ref="A28:F28"/>
    <mergeCell ref="A1:F1"/>
    <mergeCell ref="A9:F9"/>
    <mergeCell ref="A31:F31"/>
    <mergeCell ref="A34:F34"/>
    <mergeCell ref="A40:F40"/>
    <mergeCell ref="A3:F3"/>
    <mergeCell ref="A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pane ySplit="2" topLeftCell="A3" activePane="bottomLeft" state="frozen"/>
      <selection pane="bottomLeft" sqref="A1:F1"/>
    </sheetView>
  </sheetViews>
  <sheetFormatPr defaultRowHeight="14.5" x14ac:dyDescent="0.35"/>
  <cols>
    <col min="1" max="1" width="28" customWidth="1"/>
    <col min="2" max="2" width="36" customWidth="1"/>
    <col min="3" max="3" width="30" customWidth="1"/>
    <col min="4" max="4" width="20" customWidth="1"/>
    <col min="5" max="6" width="28" customWidth="1"/>
  </cols>
  <sheetData>
    <row r="1" spans="1:6" ht="22" customHeight="1" x14ac:dyDescent="0.35">
      <c r="A1" s="14" t="s">
        <v>336</v>
      </c>
      <c r="B1" s="15"/>
      <c r="C1" s="15"/>
      <c r="D1" s="15"/>
      <c r="E1" s="15"/>
      <c r="F1" s="15"/>
    </row>
    <row r="2" spans="1:6" ht="20" customHeight="1" x14ac:dyDescent="0.35">
      <c r="A2" s="1" t="s">
        <v>337</v>
      </c>
      <c r="B2" s="1" t="s">
        <v>338</v>
      </c>
      <c r="C2" s="1" t="s">
        <v>339</v>
      </c>
      <c r="D2" s="1" t="s">
        <v>340</v>
      </c>
      <c r="E2" s="1" t="s">
        <v>82</v>
      </c>
      <c r="F2" s="1" t="s">
        <v>341</v>
      </c>
    </row>
    <row r="3" spans="1:6" ht="36" customHeight="1" x14ac:dyDescent="0.35">
      <c r="A3" s="2" t="s">
        <v>342</v>
      </c>
      <c r="B3" s="2" t="s">
        <v>343</v>
      </c>
      <c r="C3" s="2" t="s">
        <v>344</v>
      </c>
      <c r="D3" s="2" t="s">
        <v>345</v>
      </c>
      <c r="E3" s="2" t="s">
        <v>346</v>
      </c>
      <c r="F3" s="2" t="s">
        <v>347</v>
      </c>
    </row>
    <row r="4" spans="1:6" ht="36" customHeight="1" x14ac:dyDescent="0.35">
      <c r="A4" s="3" t="s">
        <v>348</v>
      </c>
      <c r="B4" s="3" t="s">
        <v>349</v>
      </c>
      <c r="C4" s="3" t="s">
        <v>350</v>
      </c>
      <c r="D4" s="3" t="s">
        <v>345</v>
      </c>
      <c r="E4" s="3" t="s">
        <v>346</v>
      </c>
      <c r="F4" s="3" t="s">
        <v>351</v>
      </c>
    </row>
    <row r="5" spans="1:6" ht="36" customHeight="1" x14ac:dyDescent="0.35">
      <c r="A5" s="2" t="s">
        <v>352</v>
      </c>
      <c r="B5" s="2" t="s">
        <v>353</v>
      </c>
      <c r="C5" s="2" t="s">
        <v>354</v>
      </c>
      <c r="D5" s="2" t="s">
        <v>355</v>
      </c>
      <c r="E5" s="2" t="s">
        <v>356</v>
      </c>
      <c r="F5" s="2" t="s">
        <v>357</v>
      </c>
    </row>
    <row r="6" spans="1:6" ht="36" customHeight="1" x14ac:dyDescent="0.35">
      <c r="A6" s="3" t="s">
        <v>358</v>
      </c>
      <c r="B6" s="3" t="s">
        <v>359</v>
      </c>
      <c r="C6" s="3" t="s">
        <v>360</v>
      </c>
      <c r="D6" s="3" t="s">
        <v>361</v>
      </c>
      <c r="E6" s="3" t="s">
        <v>362</v>
      </c>
      <c r="F6" s="3" t="s">
        <v>363</v>
      </c>
    </row>
    <row r="7" spans="1:6" ht="36" customHeight="1" x14ac:dyDescent="0.35">
      <c r="A7" s="2" t="s">
        <v>364</v>
      </c>
      <c r="B7" s="2" t="s">
        <v>365</v>
      </c>
      <c r="C7" s="2" t="s">
        <v>366</v>
      </c>
      <c r="D7" s="2" t="s">
        <v>345</v>
      </c>
      <c r="E7" s="2" t="s">
        <v>367</v>
      </c>
      <c r="F7" s="2" t="s">
        <v>368</v>
      </c>
    </row>
    <row r="8" spans="1:6" ht="36" customHeight="1" x14ac:dyDescent="0.35">
      <c r="A8" s="3" t="s">
        <v>369</v>
      </c>
      <c r="B8" s="3" t="s">
        <v>370</v>
      </c>
      <c r="C8" s="3" t="s">
        <v>371</v>
      </c>
      <c r="D8" s="3" t="s">
        <v>345</v>
      </c>
      <c r="E8" s="3" t="s">
        <v>372</v>
      </c>
      <c r="F8" s="3" t="s">
        <v>373</v>
      </c>
    </row>
    <row r="9" spans="1:6" ht="36" customHeight="1" x14ac:dyDescent="0.35">
      <c r="A9" s="2" t="s">
        <v>374</v>
      </c>
      <c r="B9" s="2" t="s">
        <v>375</v>
      </c>
      <c r="C9" s="2" t="s">
        <v>376</v>
      </c>
      <c r="D9" s="2" t="s">
        <v>377</v>
      </c>
      <c r="E9" s="2" t="s">
        <v>378</v>
      </c>
      <c r="F9" s="2" t="s">
        <v>379</v>
      </c>
    </row>
    <row r="10" spans="1:6" ht="36" customHeight="1" x14ac:dyDescent="0.35">
      <c r="A10" s="3" t="s">
        <v>380</v>
      </c>
      <c r="B10" s="3" t="s">
        <v>381</v>
      </c>
      <c r="C10" s="3" t="s">
        <v>382</v>
      </c>
      <c r="D10" s="3" t="s">
        <v>377</v>
      </c>
      <c r="E10" s="3" t="s">
        <v>383</v>
      </c>
      <c r="F10" s="3" t="s">
        <v>384</v>
      </c>
    </row>
    <row r="11" spans="1:6" ht="36" customHeight="1" x14ac:dyDescent="0.35">
      <c r="A11" s="2" t="s">
        <v>385</v>
      </c>
      <c r="B11" s="2" t="s">
        <v>386</v>
      </c>
      <c r="C11" s="2" t="s">
        <v>387</v>
      </c>
      <c r="D11" s="2" t="s">
        <v>345</v>
      </c>
      <c r="E11" s="2" t="s">
        <v>383</v>
      </c>
      <c r="F11" s="2" t="s">
        <v>388</v>
      </c>
    </row>
    <row r="12" spans="1:6" ht="36" customHeight="1" x14ac:dyDescent="0.35">
      <c r="A12" s="3" t="s">
        <v>389</v>
      </c>
      <c r="B12" s="3" t="s">
        <v>390</v>
      </c>
      <c r="C12" s="3" t="s">
        <v>391</v>
      </c>
      <c r="D12" s="3" t="s">
        <v>18</v>
      </c>
      <c r="E12" s="3" t="s">
        <v>392</v>
      </c>
      <c r="F12" s="3" t="s">
        <v>393</v>
      </c>
    </row>
    <row r="13" spans="1:6" ht="36" customHeight="1" x14ac:dyDescent="0.35">
      <c r="A13" s="2" t="s">
        <v>394</v>
      </c>
      <c r="B13" s="2" t="s">
        <v>395</v>
      </c>
      <c r="C13" s="2" t="s">
        <v>396</v>
      </c>
      <c r="D13" s="2" t="s">
        <v>18</v>
      </c>
      <c r="E13" s="2" t="s">
        <v>397</v>
      </c>
      <c r="F13" s="2" t="s">
        <v>398</v>
      </c>
    </row>
    <row r="14" spans="1:6" ht="36" customHeight="1" x14ac:dyDescent="0.35">
      <c r="A14" s="3" t="s">
        <v>399</v>
      </c>
      <c r="B14" s="3" t="s">
        <v>400</v>
      </c>
      <c r="C14" s="3" t="s">
        <v>401</v>
      </c>
      <c r="D14" s="3" t="s">
        <v>355</v>
      </c>
      <c r="E14" s="3" t="s">
        <v>402</v>
      </c>
      <c r="F14" s="3" t="s">
        <v>403</v>
      </c>
    </row>
    <row r="15" spans="1:6" ht="36" customHeight="1" x14ac:dyDescent="0.35">
      <c r="A15" s="2" t="s">
        <v>404</v>
      </c>
      <c r="B15" s="2" t="s">
        <v>405</v>
      </c>
      <c r="C15" s="2" t="s">
        <v>406</v>
      </c>
      <c r="D15" s="2" t="s">
        <v>407</v>
      </c>
      <c r="E15" s="2" t="s">
        <v>408</v>
      </c>
      <c r="F15" s="2" t="s">
        <v>409</v>
      </c>
    </row>
    <row r="16" spans="1:6" ht="36" customHeight="1" x14ac:dyDescent="0.35">
      <c r="A16" s="3" t="s">
        <v>410</v>
      </c>
      <c r="B16" s="3" t="s">
        <v>411</v>
      </c>
      <c r="C16" s="3" t="s">
        <v>412</v>
      </c>
      <c r="D16" s="3" t="s">
        <v>355</v>
      </c>
      <c r="E16" s="3" t="s">
        <v>228</v>
      </c>
      <c r="F16" s="3" t="s">
        <v>413</v>
      </c>
    </row>
    <row r="17" spans="1:6" ht="36" customHeight="1" x14ac:dyDescent="0.35">
      <c r="A17" s="2" t="s">
        <v>414</v>
      </c>
      <c r="B17" s="2" t="s">
        <v>415</v>
      </c>
      <c r="C17" s="2" t="s">
        <v>416</v>
      </c>
      <c r="D17" s="2" t="s">
        <v>417</v>
      </c>
      <c r="E17" s="2" t="s">
        <v>418</v>
      </c>
      <c r="F17" s="2" t="s">
        <v>419</v>
      </c>
    </row>
    <row r="18" spans="1:6" ht="36" customHeight="1" x14ac:dyDescent="0.35">
      <c r="A18" s="3" t="s">
        <v>420</v>
      </c>
      <c r="B18" s="3" t="s">
        <v>421</v>
      </c>
      <c r="C18" s="3" t="s">
        <v>422</v>
      </c>
      <c r="D18" s="3" t="s">
        <v>355</v>
      </c>
      <c r="E18" s="3" t="s">
        <v>423</v>
      </c>
      <c r="F18" s="3" t="s">
        <v>424</v>
      </c>
    </row>
    <row r="19" spans="1:6" ht="36" customHeight="1" x14ac:dyDescent="0.35">
      <c r="A19" s="2" t="s">
        <v>425</v>
      </c>
      <c r="B19" s="2" t="s">
        <v>426</v>
      </c>
      <c r="C19" s="2" t="s">
        <v>427</v>
      </c>
      <c r="D19" s="2" t="s">
        <v>23</v>
      </c>
      <c r="E19" s="2" t="s">
        <v>277</v>
      </c>
      <c r="F19" s="2" t="s">
        <v>428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>
      <pane ySplit="2" topLeftCell="A3" activePane="bottomLeft" state="frozen"/>
      <selection pane="bottomLeft" sqref="A1:E1"/>
    </sheetView>
  </sheetViews>
  <sheetFormatPr defaultRowHeight="14.5" x14ac:dyDescent="0.35"/>
  <cols>
    <col min="1" max="1" width="8" customWidth="1"/>
    <col min="2" max="2" width="30" customWidth="1"/>
    <col min="3" max="3" width="28" customWidth="1"/>
    <col min="4" max="4" width="32" customWidth="1"/>
    <col min="5" max="5" width="34" customWidth="1"/>
  </cols>
  <sheetData>
    <row r="1" spans="1:5" ht="22" customHeight="1" x14ac:dyDescent="0.35">
      <c r="A1" s="14" t="s">
        <v>429</v>
      </c>
      <c r="B1" s="15"/>
      <c r="C1" s="15"/>
      <c r="D1" s="15"/>
      <c r="E1" s="15"/>
    </row>
    <row r="2" spans="1:5" ht="20" customHeight="1" x14ac:dyDescent="0.35">
      <c r="A2" s="1" t="s">
        <v>430</v>
      </c>
      <c r="B2" s="1" t="s">
        <v>431</v>
      </c>
      <c r="C2" s="1" t="s">
        <v>432</v>
      </c>
      <c r="D2" s="1" t="s">
        <v>433</v>
      </c>
      <c r="E2" s="1" t="s">
        <v>434</v>
      </c>
    </row>
    <row r="3" spans="1:5" ht="52" customHeight="1" x14ac:dyDescent="0.35">
      <c r="A3" s="4" t="s">
        <v>435</v>
      </c>
      <c r="B3" s="5" t="s">
        <v>30</v>
      </c>
      <c r="C3" s="5" t="s">
        <v>436</v>
      </c>
      <c r="D3" s="5" t="s">
        <v>437</v>
      </c>
      <c r="E3" s="5" t="s">
        <v>438</v>
      </c>
    </row>
    <row r="4" spans="1:5" ht="52" customHeight="1" x14ac:dyDescent="0.35">
      <c r="A4" s="6" t="s">
        <v>439</v>
      </c>
      <c r="B4" s="7" t="s">
        <v>440</v>
      </c>
      <c r="C4" s="7" t="s">
        <v>441</v>
      </c>
      <c r="D4" s="7" t="s">
        <v>442</v>
      </c>
      <c r="E4" s="7" t="s">
        <v>443</v>
      </c>
    </row>
    <row r="5" spans="1:5" ht="52" customHeight="1" x14ac:dyDescent="0.35">
      <c r="A5" s="8" t="s">
        <v>444</v>
      </c>
      <c r="B5" s="9" t="s">
        <v>445</v>
      </c>
      <c r="C5" s="9" t="s">
        <v>446</v>
      </c>
      <c r="D5" s="9" t="s">
        <v>447</v>
      </c>
      <c r="E5" s="9" t="s">
        <v>448</v>
      </c>
    </row>
    <row r="6" spans="1:5" ht="52" customHeight="1" x14ac:dyDescent="0.35">
      <c r="A6" s="10" t="s">
        <v>449</v>
      </c>
      <c r="B6" s="11" t="s">
        <v>44</v>
      </c>
      <c r="C6" s="11" t="s">
        <v>450</v>
      </c>
      <c r="D6" s="11" t="s">
        <v>451</v>
      </c>
      <c r="E6" s="11" t="s">
        <v>452</v>
      </c>
    </row>
    <row r="7" spans="1:5" ht="52" customHeight="1" x14ac:dyDescent="0.35">
      <c r="A7" s="12" t="s">
        <v>453</v>
      </c>
      <c r="B7" s="13" t="s">
        <v>454</v>
      </c>
      <c r="C7" s="13" t="s">
        <v>455</v>
      </c>
      <c r="D7" s="13" t="s">
        <v>456</v>
      </c>
      <c r="E7" s="13" t="s">
        <v>457</v>
      </c>
    </row>
    <row r="9" spans="1:5" ht="32" customHeight="1" x14ac:dyDescent="0.35">
      <c r="A9" s="17" t="s">
        <v>458</v>
      </c>
      <c r="B9" s="15"/>
      <c r="C9" s="15"/>
      <c r="D9" s="15"/>
      <c r="E9" s="15"/>
    </row>
  </sheetData>
  <mergeCells count="2"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FHA Overview</vt:lpstr>
      <vt:lpstr>FHA Criteria Detail</vt:lpstr>
      <vt:lpstr>FHA Rate &amp; Payment Calcs</vt:lpstr>
      <vt:lpstr>FHA Waterfall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Lawrence</cp:lastModifiedBy>
  <dcterms:created xsi:type="dcterms:W3CDTF">2026-03-30T15:35:55Z</dcterms:created>
  <dcterms:modified xsi:type="dcterms:W3CDTF">2026-03-30T16:02:51Z</dcterms:modified>
</cp:coreProperties>
</file>