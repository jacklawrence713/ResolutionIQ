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 Overview" sheetId="1" state="visible" r:id="rId1"/>
    <sheet name="VA Criteria Detail" sheetId="2" state="visible" r:id="rId2"/>
    <sheet name="VA Rate &amp; Affordability Calcs" sheetId="3" state="visible" r:id="rId3"/>
    <sheet name="VA Waterfall"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b val="1"/>
      <color rgb="001E3A5F"/>
      <sz val="9"/>
    </font>
    <font>
      <name val="Calibri"/>
      <color rgb="00111827"/>
      <sz val="9"/>
    </font>
    <font>
      <name val="Calibri"/>
      <i val="1"/>
      <color rgb="006B7280"/>
      <sz val="9"/>
    </font>
    <font>
      <name val="Calibri"/>
      <b val="1"/>
      <color rgb="00FFFFFF"/>
      <sz val="10"/>
    </font>
    <font>
      <name val="Calibri"/>
      <b val="1"/>
      <i val="1"/>
      <color rgb="007F1D1D"/>
      <sz val="9"/>
    </font>
    <font>
      <name val="Calibri"/>
      <b val="1"/>
      <color rgb="00111827"/>
      <sz val="9"/>
    </font>
  </fonts>
  <fills count="15">
    <fill>
      <patternFill/>
    </fill>
    <fill>
      <patternFill patternType="gray125"/>
    </fill>
    <fill>
      <patternFill patternType="solid">
        <fgColor rgb="007F1D1D"/>
      </patternFill>
    </fill>
    <fill>
      <patternFill patternType="solid">
        <fgColor rgb="00DBEAFE"/>
      </patternFill>
    </fill>
    <fill>
      <patternFill patternType="solid">
        <fgColor rgb="00FFFFFF"/>
      </patternFill>
    </fill>
    <fill>
      <patternFill patternType="solid">
        <fgColor rgb="00F8FAFC"/>
      </patternFill>
    </fill>
    <fill>
      <patternFill patternType="solid">
        <fgColor rgb="00F3F4F6"/>
      </patternFill>
    </fill>
    <fill>
      <patternFill patternType="solid">
        <fgColor rgb="002D5FA6"/>
      </patternFill>
    </fill>
    <fill>
      <patternFill patternType="solid">
        <fgColor rgb="00FEF2F2"/>
      </patternFill>
    </fill>
    <fill>
      <patternFill patternType="solid">
        <fgColor rgb="00ECFDF5"/>
      </patternFill>
    </fill>
    <fill>
      <patternFill patternType="solid">
        <fgColor rgb="00EFF6FF"/>
      </patternFill>
    </fill>
    <fill>
      <patternFill patternType="solid">
        <fgColor rgb="00F0FDF4"/>
      </patternFill>
    </fill>
    <fill>
      <patternFill patternType="solid">
        <fgColor rgb="00FEFCE8"/>
      </patternFill>
    </fill>
    <fill>
      <patternFill patternType="solid">
        <fgColor rgb="00FFF7ED"/>
      </patternFill>
    </fill>
    <fill>
      <patternFill patternType="solid">
        <fgColor rgb="001E3A5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6" borderId="1" applyAlignment="1" pivotButton="0" quotePrefix="0" xfId="0">
      <alignment horizontal="left" vertical="center" wrapText="1"/>
    </xf>
    <xf numFmtId="0" fontId="5" fillId="7" borderId="0" applyAlignment="1" pivotButton="0" quotePrefix="0" xfId="0">
      <alignment horizontal="left" vertical="center" indent="1"/>
    </xf>
    <xf numFmtId="0" fontId="5" fillId="2" borderId="0" applyAlignment="1" pivotButton="0" quotePrefix="0" xfId="0">
      <alignment horizontal="left" vertical="center" inden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3" fillId="9" borderId="1" applyAlignment="1" pivotButton="0" quotePrefix="0" xfId="0">
      <alignment horizontal="left" vertical="center" wrapText="1"/>
    </xf>
    <xf numFmtId="0" fontId="7" fillId="10" borderId="1" applyAlignment="1" pivotButton="0" quotePrefix="0" xfId="0">
      <alignment horizontal="center" vertical="center" wrapText="1"/>
    </xf>
    <xf numFmtId="0" fontId="3" fillId="10" borderId="1" applyAlignment="1" pivotButton="0" quotePrefix="0" xfId="0">
      <alignment horizontal="left" vertical="center" wrapText="1"/>
    </xf>
    <xf numFmtId="0" fontId="7" fillId="11" borderId="1" applyAlignment="1" pivotButton="0" quotePrefix="0" xfId="0">
      <alignment horizontal="center" vertical="center" wrapText="1"/>
    </xf>
    <xf numFmtId="0" fontId="3" fillId="11" borderId="1" applyAlignment="1" pivotButton="0" quotePrefix="0" xfId="0">
      <alignment horizontal="left" vertical="center" wrapText="1"/>
    </xf>
    <xf numFmtId="0" fontId="7" fillId="12" borderId="1" applyAlignment="1" pivotButton="0" quotePrefix="0" xfId="0">
      <alignment horizontal="center" vertical="center" wrapText="1"/>
    </xf>
    <xf numFmtId="0" fontId="3" fillId="12" borderId="1" applyAlignment="1" pivotButton="0" quotePrefix="0" xfId="0">
      <alignment horizontal="left" vertical="center" wrapText="1"/>
    </xf>
    <xf numFmtId="0" fontId="7"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4" fillId="6" borderId="1" applyAlignment="1" pivotButton="0" quotePrefix="0" xfId="0">
      <alignment horizontal="center" vertical="center" wrapText="1"/>
    </xf>
    <xf numFmtId="0" fontId="7" fillId="13" borderId="1" applyAlignment="1" pivotButton="0" quotePrefix="0" xfId="0">
      <alignment horizontal="center" vertical="center" wrapText="1"/>
    </xf>
    <xf numFmtId="0" fontId="3" fillId="13" borderId="1" applyAlignment="1" pivotButton="0" quotePrefix="0" xfId="0">
      <alignment horizontal="left" vertical="center" wrapText="1"/>
    </xf>
    <xf numFmtId="0" fontId="5" fillId="14"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28" customWidth="1" min="1" max="1"/>
    <col width="18" customWidth="1" min="2" max="2"/>
    <col width="24" customWidth="1" min="3" max="3"/>
    <col width="36" customWidth="1" min="4" max="4"/>
    <col width="34" customWidth="1" min="5" max="5"/>
    <col width="30" customWidth="1" min="6" max="6"/>
  </cols>
  <sheetData>
    <row r="1" ht="22" customHeight="1">
      <c r="A1" s="1" t="inlineStr">
        <is>
          <t>ResolutionIQ - VA Loss Mitigation Programs: Calculation Overview</t>
        </is>
      </c>
    </row>
    <row r="2" ht="20" customHeight="1">
      <c r="A2" s="2" t="inlineStr">
        <is>
          <t>Program</t>
        </is>
      </c>
      <c r="B2" s="2" t="inlineStr">
        <is>
          <t>Category</t>
        </is>
      </c>
      <c r="C2" s="2" t="inlineStr">
        <is>
          <t>Quick Gate</t>
        </is>
      </c>
      <c r="D2" s="2" t="inlineStr">
        <is>
          <t>Key Eligibility Conditions</t>
        </is>
      </c>
      <c r="E2" s="2" t="inlineStr">
        <is>
          <t>Key Disqualifiers</t>
        </is>
      </c>
      <c r="F2" s="2" t="inlineStr">
        <is>
          <t>Regulatory Basis</t>
        </is>
      </c>
    </row>
    <row r="3" ht="52" customHeight="1">
      <c r="A3" s="3" t="inlineStr">
        <is>
          <t>VA Disaster Forbearance</t>
        </is>
      </c>
      <c r="B3" s="3" t="inlineStr">
        <is>
          <t>Disaster Relief</t>
        </is>
      </c>
      <c r="C3" s="3" t="inlineStr">
        <is>
          <t>Disaster hardship; property in PDMA; DLQ &lt; 30d at declaration</t>
        </is>
      </c>
      <c r="D3" s="3" t="inlineStr">
        <is>
          <t>Disaster hardship; base eligibility (lien, condemned, abandoned, foreclosure); property in PDMA; DLQ &lt; 30d at disaster declaration; forbearance period OR total DLQ &lt; 12 months</t>
        </is>
      </c>
      <c r="E3" s="3" t="inlineStr">
        <is>
          <t>Non-disaster; property not in PDMA; &gt; 30d DLQ at declaration; forbearance + DLQ both &gt;= 12 months</t>
        </is>
      </c>
      <c r="F3" s="3" t="inlineStr">
        <is>
          <t>VA M26-4 Ch. 8</t>
        </is>
      </c>
    </row>
    <row r="4" ht="52" customHeight="1">
      <c r="A4" s="4" t="inlineStr">
        <is>
          <t>VA Disaster Modification</t>
        </is>
      </c>
      <c r="B4" s="4" t="inlineStr">
        <is>
          <t>Disaster Modification</t>
        </is>
      </c>
      <c r="C4" s="4" t="inlineStr">
        <is>
          <t>Disaster hardship; &gt;= 60d DLQ; prior forbearance; PMMS &lt;= current+1%</t>
        </is>
      </c>
      <c r="D4" s="4" t="inlineStr">
        <is>
          <t>Disaster hardship; base eligibility; no active RPP; PMMS &lt;= current rate + 1%; DLQ &lt; 30d at declaration; loan &gt;= 60d DLQ; prior workout = forbearance; workout state = active/passed</t>
        </is>
      </c>
      <c r="E4" s="4" t="inlineStr">
        <is>
          <t>Non-disaster; active RPP; PMMS exceeds current+1%; &lt; 60d DLQ; no prior forbearance</t>
        </is>
      </c>
      <c r="F4" s="4" t="inlineStr">
        <is>
          <t>VA M26-4 Ch. 8; 38 CFR 36.4315(a)(8)(i)</t>
        </is>
      </c>
    </row>
    <row r="5" ht="52" customHeight="1">
      <c r="A5" s="3" t="inlineStr">
        <is>
          <t>VA Disaster Extend Modification</t>
        </is>
      </c>
      <c r="B5" s="3" t="inlineStr">
        <is>
          <t>Disaster Modification</t>
        </is>
      </c>
      <c r="C5" s="3" t="inlineStr">
        <is>
          <t>Disaster hardship unresolved; &gt;= 60d DLQ; prior forbearance</t>
        </is>
      </c>
      <c r="D5" s="3" t="inlineStr">
        <is>
          <t>Base eligibility; disaster hardship NOT resolved; DLQ &lt; 30d at declaration; loan &gt;= 60d DLQ; prior workout = forbearance; workout state = active/passed. Extends maturity up to 12 months - does NOT re-amortize.</t>
        </is>
      </c>
      <c r="E5" s="3" t="inlineStr">
        <is>
          <t>Hardship resolved; no prior forbearance; &lt; 60d DLQ</t>
        </is>
      </c>
      <c r="F5" s="3" t="inlineStr">
        <is>
          <t>Circular 26-24-3 Sec 3.a(2)</t>
        </is>
      </c>
    </row>
    <row r="6" ht="52" customHeight="1">
      <c r="A6" s="4" t="inlineStr">
        <is>
          <t>VA Reinstatement</t>
        </is>
      </c>
      <c r="B6" s="4" t="inlineStr">
        <is>
          <t>Pre-Default / Early</t>
        </is>
      </c>
      <c r="C6" s="4" t="inlineStr">
        <is>
          <t>DLQ &gt; 0; can afford at 41% DTI</t>
        </is>
      </c>
      <c r="D6" s="4" t="inlineStr">
        <is>
          <t>Base eligibility; DLQ &gt;= 1 day; borrower can afford reinstatement (PITI + arrears spread + expenses &lt;= 41% GMI)</t>
        </is>
      </c>
      <c r="E6" s="4" t="inlineStr">
        <is>
          <t>Cannot afford reinstatement (DTI &gt; 41%); current loan</t>
        </is>
      </c>
      <c r="F6" s="4" t="inlineStr">
        <is>
          <t>VA M26-4 Sec 2.A</t>
        </is>
      </c>
    </row>
    <row r="7" ht="52" customHeight="1">
      <c r="A7" s="3" t="inlineStr">
        <is>
          <t>VA Repayment Plan</t>
        </is>
      </c>
      <c r="B7" s="3" t="inlineStr">
        <is>
          <t>Home Retention</t>
        </is>
      </c>
      <c r="C7" s="3" t="inlineStr">
        <is>
          <t>DLQ &gt;= 61d; hardship resolved; standard hardship; owner-occ; can afford RPP</t>
        </is>
      </c>
      <c r="D7" s="3" t="inlineStr">
        <is>
          <t>Base eligibility; standard non-disaster hardship; hardship RESOLVED; DLQ &gt;= 61d; RPP calculated &gt; 0; can afford RPP at 41% DTI; borrower intent = retain; owner-occupied</t>
        </is>
      </c>
      <c r="E7" s="3" t="inlineStr">
        <is>
          <t>Disaster hardship; hardship not resolved; DLQ &lt; 61d; DTI &gt; 41%; disposition intent</t>
        </is>
      </c>
      <c r="F7" s="3" t="inlineStr">
        <is>
          <t>38 CFR 36.4301</t>
        </is>
      </c>
    </row>
    <row r="8" ht="52" customHeight="1">
      <c r="A8" s="4" t="inlineStr">
        <is>
          <t>VA Special Forbearance</t>
        </is>
      </c>
      <c r="B8" s="4" t="inlineStr">
        <is>
          <t>Home Retention</t>
        </is>
      </c>
      <c r="C8" s="4" t="inlineStr">
        <is>
          <t>DLQ &gt;= 61d; hardship active (not resolved); standard hardship; owner-occ</t>
        </is>
      </c>
      <c r="D8" s="4" t="inlineStr">
        <is>
          <t>Base eligibility; standard non-disaster hardship; hardship NOT resolved (active); DLQ &gt;= 61d; forbearance/DLQ &lt; 12 months; borrower intent = retain; owner-occupied</t>
        </is>
      </c>
      <c r="E8" s="4" t="inlineStr">
        <is>
          <t>Hardship resolved (use Repayment Plan); DLQ &lt; 61d; disaster hardship; disposition intent</t>
        </is>
      </c>
      <c r="F8" s="4" t="inlineStr">
        <is>
          <t>38 CFR 36.4301</t>
        </is>
      </c>
    </row>
    <row r="9" ht="52" customHeight="1">
      <c r="A9" s="3" t="inlineStr">
        <is>
          <t>VA Traditional Modification</t>
        </is>
      </c>
      <c r="B9" s="3" t="inlineStr">
        <is>
          <t>Loan Modification</t>
        </is>
      </c>
      <c r="C9" s="3" t="inlineStr">
        <is>
          <t>DLQ &gt;= 61d; standard hardship; owner-occ; cannot afford current; CAN afford modified; arrears &lt;= 25% orig UPB; new UPB &lt;= orig UPB; seasoning OK; &lt; 3 prior mods</t>
        </is>
      </c>
      <c r="D9" s="3" t="inlineStr">
        <is>
          <t>Base eligibility; standard non-disaster hardship; DLQ &gt;= 61d; confirmed cannot afford current; CAN afford modified payment at 41% DTI; retention intent; owner-occ; arrears &lt;= 25% orig UPB; new UPB &lt;= original UPB; &gt;= 12 months seasoning; &lt; 3 lifetime mods</t>
        </is>
      </c>
      <c r="E9" s="3" t="inlineStr">
        <is>
          <t>Arrears &gt; 25% orig UPB; new UPB &gt; original; seasoning &lt; 12 mo; 3+ lifetime mods; DTI fails</t>
        </is>
      </c>
      <c r="F9" s="3" t="inlineStr">
        <is>
          <t>38 CFR 36.4315(a); Circular 26-24-8</t>
        </is>
      </c>
    </row>
    <row r="10" ht="52" customHeight="1">
      <c r="A10" s="4" t="inlineStr">
        <is>
          <t>VA 30-Year Loan Modification</t>
        </is>
      </c>
      <c r="B10" s="4" t="inlineStr">
        <is>
          <t>Loan Modification</t>
        </is>
      </c>
      <c r="C10" s="4" t="inlineStr">
        <is>
          <t>DLQ &gt;= 61d; standard hardship; owner-occ; cannot afford current; arrears &lt;= 25%; new UPB &lt;= orig; seasoning OK; &lt; 3 prior mods</t>
        </is>
      </c>
      <c r="D10" s="4" t="inlineStr">
        <is>
          <t>Base eligibility; standard non-disaster hardship; DLQ &gt;= 61d; confirmed cannot afford current; cannot afford current (DTI &gt; 41%); retention intent; owner-occ; arrears &lt;= 25% orig UPB; new UPB &lt;= original UPB; &gt;= 12 mo seasoning; &lt; 3 lifetime mods; PMMS + 0.125% rounding @ 360 months</t>
        </is>
      </c>
      <c r="E10" s="4" t="inlineStr">
        <is>
          <t>Arrears &gt; 25%; new UPB &gt; original; &lt; 12 mo seasoning; 3+ lifetime mods; CAN afford current (use Traditional Mod instead)</t>
        </is>
      </c>
      <c r="F10" s="4" t="inlineStr">
        <is>
          <t>38 CFR 36.4315(a)(8)(i)</t>
        </is>
      </c>
    </row>
    <row r="11" ht="52" customHeight="1">
      <c r="A11" s="3" t="inlineStr">
        <is>
          <t>VA 40-Year Loan Modification</t>
        </is>
      </c>
      <c r="B11" s="3" t="inlineStr">
        <is>
          <t>Loan Modification</t>
        </is>
      </c>
      <c r="C11" s="3" t="inlineStr">
        <is>
          <t>DLQ &gt;= 61d; standard hardship; owner-occ; seasoning OK; &lt; 3 prior mods (NO arrears/UPB cap; NO affordability check)</t>
        </is>
      </c>
      <c r="D11" s="3" t="inlineStr">
        <is>
          <t>Base eligibility; standard non-disaster hardship; DLQ &gt;= 61d; confirmed cannot afford current; owner-occ; retention intent; &gt;= 12 mo seasoning; &lt; 3 lifetime mods; PMMS + 0.125% rounding @ 480 months. No arrears cap, no UPB cap, no modified payment affordability check.</t>
        </is>
      </c>
      <c r="E11" s="3" t="inlineStr">
        <is>
          <t>&lt; 12 mo seasoning; 3+ lifetime mods; disaster hardship</t>
        </is>
      </c>
      <c r="F11" s="3" t="inlineStr">
        <is>
          <t>38 CFR 36.4315(a)(8)(i); Circular 26-25-2 (10% P&amp;I reduction removed May 1 2025)</t>
        </is>
      </c>
    </row>
    <row r="12" ht="52" customHeight="1">
      <c r="A12" s="5" t="inlineStr">
        <is>
          <t>VASP (VA Partial Claim)</t>
        </is>
      </c>
      <c r="B12" s="5" t="inlineStr">
        <is>
          <t>DISCONTINUED</t>
        </is>
      </c>
      <c r="C12" s="5" t="inlineStr">
        <is>
          <t>DISCONTINUED effective May 1, 2025</t>
        </is>
      </c>
      <c r="D12" s="5" t="inlineStr">
        <is>
          <t>DISCONTINUED per Circular 26-25-2 effective May 1, 2025. No new submissions accepted. New VA partial claim authorized by VA Home Loan Program Reform Act (Jul 30, 2025) - implementation guidance pending.</t>
        </is>
      </c>
      <c r="E12" s="5" t="inlineStr">
        <is>
          <t>N/A - permanently discontinued</t>
        </is>
      </c>
      <c r="F12" s="5" t="inlineStr">
        <is>
          <t>Circular 26-25-2 (May 1, 2025)</t>
        </is>
      </c>
    </row>
    <row r="13" ht="52" customHeight="1">
      <c r="A13" s="3" t="inlineStr">
        <is>
          <t>VA Compromise Sale</t>
        </is>
      </c>
      <c r="B13" s="3" t="inlineStr">
        <is>
          <t>Disposition</t>
        </is>
      </c>
      <c r="C13" s="3" t="inlineStr">
        <is>
          <t>Long-term/permanent hardship; disposition intent; base eligible</t>
        </is>
      </c>
      <c r="D13" s="3" t="inlineStr">
        <is>
          <t>Long-term or permanent hardship; base eligibility; disposition intent (NOT retention); DLQ &lt;= 60d requires complete BRP; DLQ &gt;= 60d requires disposition intent confirmed. VA RLC approval required.</t>
        </is>
      </c>
      <c r="E13" s="3" t="inlineStr">
        <is>
          <t>Temporary/resolved hardship; retention intent</t>
        </is>
      </c>
      <c r="F13" s="3" t="inlineStr">
        <is>
          <t>VA M26-4 Ch. 5 Sec 3.A; Circular 26-24-2</t>
        </is>
      </c>
    </row>
    <row r="14" ht="52" customHeight="1">
      <c r="A14" s="4" t="inlineStr">
        <is>
          <t>VA Deed-in-Lieu</t>
        </is>
      </c>
      <c r="B14" s="4" t="inlineStr">
        <is>
          <t>Disposition</t>
        </is>
      </c>
      <c r="C14" s="4" t="inlineStr">
        <is>
          <t>Compromise Sale criteria + prior Comp Sale failed</t>
        </is>
      </c>
      <c r="D14" s="4" t="inlineStr">
        <is>
          <t>All Compromise Sale criteria PASS; prior Compromise Sale attempted and FAILED; clear title required; borrower must vacate prior to deed conveyance</t>
        </is>
      </c>
      <c r="E14" s="4" t="inlineStr">
        <is>
          <t>Compromise Sale not yet attempted; title not clear</t>
        </is>
      </c>
      <c r="F14" s="4" t="inlineStr">
        <is>
          <t>VA M26-4 Ch. 5</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6"/>
  <sheetViews>
    <sheetView workbookViewId="0">
      <pane ySplit="2" topLeftCell="A3" activePane="bottomLeft" state="frozen"/>
      <selection pane="bottomLeft" activeCell="A1" sqref="A1"/>
    </sheetView>
  </sheetViews>
  <sheetFormatPr baseColWidth="8" defaultRowHeight="15"/>
  <cols>
    <col width="28" customWidth="1" min="1" max="1"/>
    <col width="26" customWidth="1" min="2" max="2"/>
    <col width="22" customWidth="1" min="3" max="3"/>
    <col width="20" customWidth="1" min="4" max="4"/>
    <col width="28" customWidth="1" min="5" max="5"/>
    <col width="32" customWidth="1" min="6" max="6"/>
  </cols>
  <sheetData>
    <row r="1" ht="22" customHeight="1">
      <c r="A1" s="1" t="inlineStr">
        <is>
          <t>VA - Detailed Eligibility Criteria Per Program</t>
        </is>
      </c>
    </row>
    <row r="2" ht="20" customHeight="1">
      <c r="A2" s="2" t="inlineStr">
        <is>
          <t>Program</t>
        </is>
      </c>
      <c r="B2" s="2" t="inlineStr">
        <is>
          <t>Criterion</t>
        </is>
      </c>
      <c r="C2" s="2" t="inlineStr">
        <is>
          <t>Field / Input</t>
        </is>
      </c>
      <c r="D2" s="2" t="inlineStr">
        <is>
          <t>Threshold</t>
        </is>
      </c>
      <c r="E2" s="2" t="inlineStr">
        <is>
          <t>Pass Condition</t>
        </is>
      </c>
      <c r="F2" s="2" t="inlineStr">
        <is>
          <t>Fail / Notes</t>
        </is>
      </c>
    </row>
    <row r="3" ht="18" customHeight="1">
      <c r="A3" s="6" t="inlineStr">
        <is>
          <t>BASE ELIGIBILITY ('vb') - Required for ALL VA Programs</t>
        </is>
      </c>
    </row>
    <row r="4" ht="30" customHeight="1">
      <c r="A4" s="3" t="inlineStr">
        <is>
          <t>Base (vb)</t>
        </is>
      </c>
      <c r="B4" s="3" t="inlineStr">
        <is>
          <t>Lien Position</t>
        </is>
      </c>
      <c r="C4" s="3" t="inlineStr">
        <is>
          <t>lienPosition</t>
        </is>
      </c>
      <c r="D4" s="3">
        <f> First</f>
        <v/>
      </c>
      <c r="E4" s="3" t="inlineStr">
        <is>
          <t>First lien position</t>
        </is>
      </c>
      <c r="F4" s="3" t="inlineStr">
        <is>
          <t>Subordinate lien</t>
        </is>
      </c>
    </row>
    <row r="5" ht="30" customHeight="1">
      <c r="A5" s="4" t="inlineStr">
        <is>
          <t>Base (vb)</t>
        </is>
      </c>
      <c r="B5" s="4" t="inlineStr">
        <is>
          <t>Property Condition</t>
        </is>
      </c>
      <c r="C5" s="4" t="inlineStr">
        <is>
          <t>propertyCondition</t>
        </is>
      </c>
      <c r="D5" s="4" t="inlineStr">
        <is>
          <t>Not Condemned</t>
        </is>
      </c>
      <c r="E5" s="4" t="inlineStr">
        <is>
          <t>Property habitable and not condemned</t>
        </is>
      </c>
      <c r="F5" s="4" t="inlineStr">
        <is>
          <t>Condemned property</t>
        </is>
      </c>
    </row>
    <row r="6" ht="30" customHeight="1">
      <c r="A6" s="3" t="inlineStr">
        <is>
          <t>Base (vb)</t>
        </is>
      </c>
      <c r="B6" s="3" t="inlineStr">
        <is>
          <t>Property Not Abandoned</t>
        </is>
      </c>
      <c r="C6" s="3" t="inlineStr">
        <is>
          <t>occupancyAbandoned</t>
        </is>
      </c>
      <c r="D6" s="3">
        <f> FALSE</f>
        <v/>
      </c>
      <c r="E6" s="3" t="inlineStr">
        <is>
          <t>Property is not abandoned</t>
        </is>
      </c>
      <c r="F6" s="3" t="inlineStr">
        <is>
          <t>Property abandoned</t>
        </is>
      </c>
    </row>
    <row r="7" ht="30" customHeight="1">
      <c r="A7" s="4" t="inlineStr">
        <is>
          <t>Base (vb)</t>
        </is>
      </c>
      <c r="B7" s="4" t="inlineStr">
        <is>
          <t>Foreclosure Not Active</t>
        </is>
      </c>
      <c r="C7" s="4" t="inlineStr">
        <is>
          <t>foreclosureActive</t>
        </is>
      </c>
      <c r="D7" s="4">
        <f> FALSE</f>
        <v/>
      </c>
      <c r="E7" s="4" t="inlineStr">
        <is>
          <t>No active foreclosure proceedings</t>
        </is>
      </c>
      <c r="F7" s="4" t="inlineStr">
        <is>
          <t>Active foreclosure underway</t>
        </is>
      </c>
    </row>
    <row r="8" ht="18" customHeight="1">
      <c r="A8" s="6" t="inlineStr">
        <is>
          <t>VA DISASTER FORBEARANCE (VA M26-4 Ch. 8)</t>
        </is>
      </c>
    </row>
    <row r="9" ht="30" customHeight="1">
      <c r="A9" s="3" t="inlineStr">
        <is>
          <t>Disaster Forbearance</t>
        </is>
      </c>
      <c r="B9" s="3" t="inlineStr">
        <is>
          <t>Hardship = Disaster</t>
        </is>
      </c>
      <c r="C9" s="3" t="inlineStr">
        <is>
          <t>hardshipType</t>
        </is>
      </c>
      <c r="D9" s="3">
        <f> Disaster</f>
        <v/>
      </c>
      <c r="E9" s="3" t="inlineStr">
        <is>
          <t>Presidentially-declared disaster</t>
        </is>
      </c>
      <c r="F9" s="3" t="inlineStr">
        <is>
          <t>Non-disaster -&gt; use standard tracks</t>
        </is>
      </c>
    </row>
    <row r="10" ht="30" customHeight="1">
      <c r="A10" s="4" t="inlineStr">
        <is>
          <t>Disaster Forbearance</t>
        </is>
      </c>
      <c r="B10" s="4" t="inlineStr">
        <is>
          <t>Property in PDMA</t>
        </is>
      </c>
      <c r="C10" s="4" t="inlineStr">
        <is>
          <t>vaPDMA</t>
        </is>
      </c>
      <c r="D10" s="4">
        <f> TRUE</f>
        <v/>
      </c>
      <c r="E10" s="4" t="inlineStr">
        <is>
          <t>Property in Presidentially Declared Major Disaster Area</t>
        </is>
      </c>
      <c r="F10" s="4" t="inlineStr">
        <is>
          <t>Property outside PDMA</t>
        </is>
      </c>
    </row>
    <row r="11" ht="30" customHeight="1">
      <c r="A11" s="3" t="inlineStr">
        <is>
          <t>Disaster Forbearance</t>
        </is>
      </c>
      <c r="B11" s="3" t="inlineStr">
        <is>
          <t>DLQ &lt; 30d at Disaster Declaration</t>
        </is>
      </c>
      <c r="C11" s="3" t="inlineStr">
        <is>
          <t>dlqAtDisasterLt30</t>
        </is>
      </c>
      <c r="D11" s="3">
        <f> TRUE (current or &lt; 30d at declaration)</f>
        <v/>
      </c>
      <c r="E11" s="3" t="inlineStr">
        <is>
          <t>Was current or &lt; 30d DLQ when disaster declared</t>
        </is>
      </c>
      <c r="F11" s="3" t="inlineStr">
        <is>
          <t>Was &gt; 30d DLQ at time of declaration</t>
        </is>
      </c>
    </row>
    <row r="12" ht="30" customHeight="1">
      <c r="A12" s="4" t="inlineStr">
        <is>
          <t>Disaster Forbearance</t>
        </is>
      </c>
      <c r="B12" s="4" t="inlineStr">
        <is>
          <t>Forbearance Period &lt; 12mo OR Total DLQ &lt; 12mo</t>
        </is>
      </c>
      <c r="C12" s="4" t="inlineStr">
        <is>
          <t>forbearancePeriodLt12 OR totalDLQLt12</t>
        </is>
      </c>
      <c r="D12" s="4" t="inlineStr">
        <is>
          <t>At least one = TRUE</t>
        </is>
      </c>
      <c r="E12" s="4" t="inlineStr">
        <is>
          <t>Forbearance period &lt; 12 months OR total DLQ &lt; 12 months</t>
        </is>
      </c>
      <c r="F12" s="4" t="inlineStr">
        <is>
          <t>Both forbearance period AND total DLQ &gt;= 12 months</t>
        </is>
      </c>
    </row>
    <row r="13" ht="18" customHeight="1">
      <c r="A13" s="6" t="inlineStr">
        <is>
          <t>VA DISASTER MODIFICATION (VA M26-4 Ch. 8 / 38 CFR 36.4315(a)(8)(i))</t>
        </is>
      </c>
    </row>
    <row r="14" ht="30" customHeight="1">
      <c r="A14" s="3" t="inlineStr">
        <is>
          <t>Disaster Modification</t>
        </is>
      </c>
      <c r="B14" s="3" t="inlineStr">
        <is>
          <t>Hardship = Disaster</t>
        </is>
      </c>
      <c r="C14" s="3" t="inlineStr">
        <is>
          <t>hardshipType</t>
        </is>
      </c>
      <c r="D14" s="3">
        <f> Disaster</f>
        <v/>
      </c>
      <c r="E14" s="3" t="inlineStr">
        <is>
          <t>Disaster hardship confirmed</t>
        </is>
      </c>
      <c r="F14" s="3" t="inlineStr">
        <is>
          <t>Non-disaster -&gt; use standard mod tracks</t>
        </is>
      </c>
    </row>
    <row r="15" ht="30" customHeight="1">
      <c r="A15" s="4" t="inlineStr">
        <is>
          <t>Disaster Modification</t>
        </is>
      </c>
      <c r="B15" s="4" t="inlineStr">
        <is>
          <t>No Active Repayment Plan</t>
        </is>
      </c>
      <c r="C15" s="4" t="inlineStr">
        <is>
          <t>activeRPP</t>
        </is>
      </c>
      <c r="D15" s="4">
        <f> FALSE</f>
        <v/>
      </c>
      <c r="E15" s="4" t="inlineStr">
        <is>
          <t>No active RPP in place</t>
        </is>
      </c>
      <c r="F15" s="4" t="inlineStr">
        <is>
          <t>Active RPP exists -&gt; complete RPP first</t>
        </is>
      </c>
    </row>
    <row r="16" ht="30" customHeight="1">
      <c r="A16" s="3" t="inlineStr">
        <is>
          <t>Disaster Modification</t>
        </is>
      </c>
      <c r="B16" s="3" t="inlineStr">
        <is>
          <t>PMMS &lt;= Current Rate + 1%</t>
        </is>
      </c>
      <c r="C16" s="3" t="inlineStr">
        <is>
          <t>pmmsRate, currentInterestRate (auto-computed)</t>
        </is>
      </c>
      <c r="D16" s="3" t="inlineStr">
        <is>
          <t>PMMS &lt;= currentRate + 1.0%</t>
        </is>
      </c>
      <c r="E16" s="3" t="inlineStr">
        <is>
          <t>Market rate within 1% of current note rate</t>
        </is>
      </c>
      <c r="F16" s="3" t="inlineStr">
        <is>
          <t>PMMS exceeds current + 1% -&gt; rate cap triggered</t>
        </is>
      </c>
    </row>
    <row r="17" ht="30" customHeight="1">
      <c r="A17" s="4" t="inlineStr">
        <is>
          <t>Disaster Modification</t>
        </is>
      </c>
      <c r="B17" s="4" t="inlineStr">
        <is>
          <t>DLQ &lt; 30d at Disaster Declaration</t>
        </is>
      </c>
      <c r="C17" s="4" t="inlineStr">
        <is>
          <t>dlqAtDisasterLt30</t>
        </is>
      </c>
      <c r="D17" s="4">
        <f> TRUE</f>
        <v/>
      </c>
      <c r="E17" s="4" t="inlineStr">
        <is>
          <t>Was current or &lt; 30d at declaration</t>
        </is>
      </c>
      <c r="F17" s="4" t="inlineStr">
        <is>
          <t>&gt; 30d DLQ at declaration</t>
        </is>
      </c>
    </row>
    <row r="18" ht="30" customHeight="1">
      <c r="A18" s="3" t="inlineStr">
        <is>
          <t>Disaster Modification</t>
        </is>
      </c>
      <c r="B18" s="3" t="inlineStr">
        <is>
          <t>Loan &gt;= 60 Days DLQ</t>
        </is>
      </c>
      <c r="C18" s="3" t="inlineStr">
        <is>
          <t>loanGe60DaysDLQ</t>
        </is>
      </c>
      <c r="D18" s="3">
        <f> TRUE</f>
        <v/>
      </c>
      <c r="E18" s="3" t="inlineStr">
        <is>
          <t>Currently &gt;= 60d DLQ</t>
        </is>
      </c>
      <c r="F18" s="3" t="inlineStr">
        <is>
          <t>&lt; 60d DLQ - too early for Disaster Mod</t>
        </is>
      </c>
    </row>
    <row r="19" ht="30" customHeight="1">
      <c r="A19" s="4" t="inlineStr">
        <is>
          <t>Disaster Modification</t>
        </is>
      </c>
      <c r="B19" s="4" t="inlineStr">
        <is>
          <t>Previous Workout = Forbearance</t>
        </is>
      </c>
      <c r="C19" s="4" t="inlineStr">
        <is>
          <t>previousWorkoutForbearance</t>
        </is>
      </c>
      <c r="D19" s="4">
        <f> TRUE</f>
        <v/>
      </c>
      <c r="E19" s="4" t="inlineStr">
        <is>
          <t>Prior workout was a forbearance plan</t>
        </is>
      </c>
      <c r="F19" s="4" t="inlineStr">
        <is>
          <t>No prior forbearance workout</t>
        </is>
      </c>
    </row>
    <row r="20" ht="30" customHeight="1">
      <c r="A20" s="3" t="inlineStr">
        <is>
          <t>Disaster Modification</t>
        </is>
      </c>
      <c r="B20" s="3" t="inlineStr">
        <is>
          <t>Workout State = Active or Passed</t>
        </is>
      </c>
      <c r="C20" s="3" t="inlineStr">
        <is>
          <t>workoutStateActivePassed</t>
        </is>
      </c>
      <c r="D20" s="3">
        <f> TRUE</f>
        <v/>
      </c>
      <c r="E20" s="3" t="inlineStr">
        <is>
          <t>Forbearance is active or has passed/concluded</t>
        </is>
      </c>
      <c r="F20" s="3" t="inlineStr">
        <is>
          <t>Workout in other state</t>
        </is>
      </c>
    </row>
    <row r="21" ht="18" customHeight="1">
      <c r="A21" s="6" t="inlineStr">
        <is>
          <t>VA DISASTER EXTEND MODIFICATION (Circular 26-24-3 Sec 3.a(2))</t>
        </is>
      </c>
    </row>
    <row r="22" ht="30" customHeight="1">
      <c r="A22" s="4" t="inlineStr">
        <is>
          <t>Disaster Extend Mod</t>
        </is>
      </c>
      <c r="B22" s="4" t="inlineStr">
        <is>
          <t>Hardship NOT Resolved</t>
        </is>
      </c>
      <c r="C22" s="4" t="inlineStr">
        <is>
          <t>hardshipDuration</t>
        </is>
      </c>
      <c r="D22" s="4" t="inlineStr">
        <is>
          <t>Not = Resolved</t>
        </is>
      </c>
      <c r="E22" s="4" t="inlineStr">
        <is>
          <t>Hardship is ongoing (not yet resolved)</t>
        </is>
      </c>
      <c r="F22" s="4" t="inlineStr">
        <is>
          <t>Hardship resolved -&gt; use Disaster Modification instead</t>
        </is>
      </c>
    </row>
    <row r="23" ht="30" customHeight="1">
      <c r="A23" s="3" t="inlineStr">
        <is>
          <t>Disaster Extend Mod</t>
        </is>
      </c>
      <c r="B23" s="3" t="inlineStr">
        <is>
          <t>DLQ &lt; 30d at Disaster Declaration</t>
        </is>
      </c>
      <c r="C23" s="3" t="inlineStr">
        <is>
          <t>dlqAtDisasterLt30</t>
        </is>
      </c>
      <c r="D23" s="3">
        <f> TRUE</f>
        <v/>
      </c>
      <c r="E23" s="3" t="inlineStr">
        <is>
          <t>Was current or &lt; 30d at declaration</t>
        </is>
      </c>
      <c r="F23" s="3" t="inlineStr">
        <is>
          <t>&gt; 30d DLQ at declaration</t>
        </is>
      </c>
    </row>
    <row r="24" ht="30" customHeight="1">
      <c r="A24" s="4" t="inlineStr">
        <is>
          <t>Disaster Extend Mod</t>
        </is>
      </c>
      <c r="B24" s="4" t="inlineStr">
        <is>
          <t>Loan &gt;= 60 Days DLQ</t>
        </is>
      </c>
      <c r="C24" s="4" t="inlineStr">
        <is>
          <t>loanGe60DaysDLQ</t>
        </is>
      </c>
      <c r="D24" s="4">
        <f> TRUE</f>
        <v/>
      </c>
      <c r="E24" s="4" t="inlineStr">
        <is>
          <t>Currently &gt;= 60d DLQ</t>
        </is>
      </c>
      <c r="F24" s="4" t="inlineStr">
        <is>
          <t>&lt; 60d DLQ</t>
        </is>
      </c>
    </row>
    <row r="25" ht="30" customHeight="1">
      <c r="A25" s="3" t="inlineStr">
        <is>
          <t>Disaster Extend Mod</t>
        </is>
      </c>
      <c r="B25" s="3" t="inlineStr">
        <is>
          <t>Previous Workout = Forbearance</t>
        </is>
      </c>
      <c r="C25" s="3" t="inlineStr">
        <is>
          <t>previousWorkoutForbearance</t>
        </is>
      </c>
      <c r="D25" s="3">
        <f> TRUE</f>
        <v/>
      </c>
      <c r="E25" s="3" t="inlineStr">
        <is>
          <t>Prior workout was forbearance</t>
        </is>
      </c>
      <c r="F25" s="3" t="inlineStr">
        <is>
          <t>No prior forbearance</t>
        </is>
      </c>
    </row>
    <row r="26" ht="30" customHeight="1">
      <c r="A26" s="4" t="inlineStr">
        <is>
          <t>Disaster Extend Mod</t>
        </is>
      </c>
      <c r="B26" s="4" t="inlineStr">
        <is>
          <t>Workout State = Active or Passed</t>
        </is>
      </c>
      <c r="C26" s="4" t="inlineStr">
        <is>
          <t>workoutStateActivePassed</t>
        </is>
      </c>
      <c r="D26" s="4">
        <f> TRUE</f>
        <v/>
      </c>
      <c r="E26" s="4" t="inlineStr">
        <is>
          <t>Workout active or passed state</t>
        </is>
      </c>
      <c r="F26" s="4" t="inlineStr">
        <is>
          <t>Other workout state</t>
        </is>
      </c>
    </row>
    <row r="27" ht="30" customHeight="1">
      <c r="A27" s="3" t="inlineStr">
        <is>
          <t>Disaster Extend Mod</t>
        </is>
      </c>
      <c r="B27" s="3" t="inlineStr">
        <is>
          <t>Extension (NOT re-amortization)</t>
        </is>
      </c>
      <c r="C27" s="3" t="inlineStr">
        <is>
          <t>N/A</t>
        </is>
      </c>
      <c r="D27" s="3" t="inlineStr">
        <is>
          <t>Extends maturity date only</t>
        </is>
      </c>
      <c r="E27" s="3" t="inlineStr">
        <is>
          <t>Maturity extended up to 12 months beyond original</t>
        </is>
      </c>
      <c r="F27" s="3" t="inlineStr">
        <is>
          <t>NOTE: rate and payment do NOT change - this is NOT a modification of rate/term</t>
        </is>
      </c>
    </row>
    <row r="28" ht="18" customHeight="1">
      <c r="A28" s="6" t="inlineStr">
        <is>
          <t>VA REINSTATEMENT (VA M26-4 Sec 2.A)</t>
        </is>
      </c>
    </row>
    <row r="29" ht="30" customHeight="1">
      <c r="A29" s="4" t="inlineStr">
        <is>
          <t>VA Reinstatement</t>
        </is>
      </c>
      <c r="B29" s="4" t="inlineStr">
        <is>
          <t>Delinquency &gt;= 1 Day</t>
        </is>
      </c>
      <c r="C29" s="4" t="inlineStr">
        <is>
          <t>delinquencyDays OR delinquencyMonths*30</t>
        </is>
      </c>
      <c r="D29" s="4" t="inlineStr">
        <is>
          <t>&gt;= 1 day DLQ</t>
        </is>
      </c>
      <c r="E29" s="4" t="inlineStr">
        <is>
          <t>Any past-due balance exists</t>
        </is>
      </c>
      <c r="F29" s="4" t="inlineStr">
        <is>
          <t>Current loan (0 DLQ)</t>
        </is>
      </c>
    </row>
    <row r="30" ht="30" customHeight="1">
      <c r="A30" s="3" t="inlineStr">
        <is>
          <t>VA Reinstatement</t>
        </is>
      </c>
      <c r="B30" s="3" t="inlineStr">
        <is>
          <t>Borrower Can Afford Reinstatement (41% DTI)</t>
        </is>
      </c>
      <c r="C30" s="3" t="inlineStr">
        <is>
          <t>Calc: (currentPITI + arrears/repayMonths + monthlyExpenses) / GMI</t>
        </is>
      </c>
      <c r="D30" s="3" t="inlineStr">
        <is>
          <t>&lt;= 41% (0.41) DTI</t>
        </is>
      </c>
      <c r="E30" s="3" t="inlineStr">
        <is>
          <t>Total DTI &lt;= 41% with reinstatement payment</t>
        </is>
      </c>
      <c r="F30" s="3" t="inlineStr">
        <is>
          <t>DTI &gt; 41% -&gt; cannot afford lump-sum or spread reinstatement</t>
        </is>
      </c>
    </row>
    <row r="31" ht="18" customHeight="1">
      <c r="A31" s="6" t="inlineStr">
        <is>
          <t>VA REPAYMENT PLAN (38 CFR 36.4301)</t>
        </is>
      </c>
    </row>
    <row r="32" ht="30" customHeight="1">
      <c r="A32" s="4" t="inlineStr">
        <is>
          <t>VA Repayment Plan</t>
        </is>
      </c>
      <c r="B32" s="4" t="inlineStr">
        <is>
          <t>Standard Non-Disaster Hardship</t>
        </is>
      </c>
      <c r="C32" s="4" t="inlineStr">
        <is>
          <t>hardshipType</t>
        </is>
      </c>
      <c r="D32" s="4" t="inlineStr">
        <is>
          <t>In STANDARD_HARDSHIPS list</t>
        </is>
      </c>
      <c r="E32" s="4" t="inlineStr">
        <is>
          <t>Unemployment, Business Failure, Increase in Housing Expenses, Property Problem, Reduction in Income, Unknown</t>
        </is>
      </c>
      <c r="F32" s="4" t="inlineStr">
        <is>
          <t>Disaster hardship -&gt; use disaster track</t>
        </is>
      </c>
    </row>
    <row r="33" ht="30" customHeight="1">
      <c r="A33" s="3" t="inlineStr">
        <is>
          <t>VA Repayment Plan</t>
        </is>
      </c>
      <c r="B33" s="3" t="inlineStr">
        <is>
          <t>Hardship Duration = Resolved</t>
        </is>
      </c>
      <c r="C33" s="3" t="inlineStr">
        <is>
          <t>hardshipDuration</t>
        </is>
      </c>
      <c r="D33" s="3">
        <f> Resolved</f>
        <v/>
      </c>
      <c r="E33" s="3" t="inlineStr">
        <is>
          <t>Hardship has resolved - borrower can resume payment</t>
        </is>
      </c>
      <c r="F33" s="3" t="inlineStr">
        <is>
          <t>Ongoing hardship -&gt; use Special Forbearance</t>
        </is>
      </c>
    </row>
    <row r="34" ht="30" customHeight="1">
      <c r="A34" s="4" t="inlineStr">
        <is>
          <t>VA Repayment Plan</t>
        </is>
      </c>
      <c r="B34" s="4" t="inlineStr">
        <is>
          <t>DLQ &gt;= 61 Days</t>
        </is>
      </c>
      <c r="C34" s="4" t="inlineStr">
        <is>
          <t>delinquencyDays</t>
        </is>
      </c>
      <c r="D34" s="4" t="inlineStr">
        <is>
          <t>&gt;= 61 days</t>
        </is>
      </c>
      <c r="E34" s="4" t="inlineStr">
        <is>
          <t>&gt;= 61d DLQ (regulatory minimum per 38 CFR 36.4301)</t>
        </is>
      </c>
      <c r="F34" s="4" t="inlineStr">
        <is>
          <t>&lt; 61d DLQ - too early for formal RPP</t>
        </is>
      </c>
    </row>
    <row r="35" ht="30" customHeight="1">
      <c r="A35" s="3" t="inlineStr">
        <is>
          <t>VA Repayment Plan</t>
        </is>
      </c>
      <c r="B35" s="3" t="inlineStr">
        <is>
          <t>Calculated RPP &gt; 0</t>
        </is>
      </c>
      <c r="C35" s="3" t="inlineStr">
        <is>
          <t>calculatedRPPGt0</t>
        </is>
      </c>
      <c r="D35" s="3">
        <f> TRUE</f>
        <v/>
      </c>
      <c r="E35" s="3" t="inlineStr">
        <is>
          <t>RPP amount is calculable and positive</t>
        </is>
      </c>
      <c r="F35" s="3" t="inlineStr">
        <is>
          <t>Cannot calculate RPP</t>
        </is>
      </c>
    </row>
    <row r="36" ht="30" customHeight="1">
      <c r="A36" s="4" t="inlineStr">
        <is>
          <t>VA Repayment Plan</t>
        </is>
      </c>
      <c r="B36" s="4" t="inlineStr">
        <is>
          <t>Can Afford RPP at 41% DTI</t>
        </is>
      </c>
      <c r="C36" s="4" t="inlineStr">
        <is>
          <t>Calc: (currentPITI + arrears/repayMonths + monthlyExpenses) / GMI</t>
        </is>
      </c>
      <c r="D36" s="4" t="inlineStr">
        <is>
          <t>&lt;= 41% DTI</t>
        </is>
      </c>
      <c r="E36" s="4" t="inlineStr">
        <is>
          <t>Total DTI &lt;= 41% with RPP payment included</t>
        </is>
      </c>
      <c r="F36" s="4" t="inlineStr">
        <is>
          <t>DTI &gt; 41% -&gt; cannot afford RPP</t>
        </is>
      </c>
    </row>
    <row r="37" ht="30" customHeight="1">
      <c r="A37" s="3" t="inlineStr">
        <is>
          <t>VA Repayment Plan</t>
        </is>
      </c>
      <c r="B37" s="3" t="inlineStr">
        <is>
          <t>Borrower Intent = Retain</t>
        </is>
      </c>
      <c r="C37" s="3" t="inlineStr">
        <is>
          <t>borrowerIntentRetention</t>
        </is>
      </c>
      <c r="D37" s="3">
        <f> TRUE</f>
        <v/>
      </c>
      <c r="E37" s="3" t="inlineStr">
        <is>
          <t>Borrower wants to retain home</t>
        </is>
      </c>
      <c r="F37" s="3" t="inlineStr">
        <is>
          <t>Disposition intent -&gt; use Compromise Sale/DIL</t>
        </is>
      </c>
    </row>
    <row r="38" ht="30" customHeight="1">
      <c r="A38" s="4" t="inlineStr">
        <is>
          <t>VA Repayment Plan</t>
        </is>
      </c>
      <c r="B38" s="4" t="inlineStr">
        <is>
          <t>Owner Occupied</t>
        </is>
      </c>
      <c r="C38" s="4" t="inlineStr">
        <is>
          <t>occupancyStatus</t>
        </is>
      </c>
      <c r="D38" s="4">
        <f> Owner Occupied</f>
        <v/>
      </c>
      <c r="E38" s="4" t="inlineStr">
        <is>
          <t>Owner-occupied primary residence</t>
        </is>
      </c>
      <c r="F38" s="4" t="inlineStr">
        <is>
          <t>Non-owner-occ</t>
        </is>
      </c>
    </row>
    <row r="39" ht="18" customHeight="1">
      <c r="A39" s="6" t="inlineStr">
        <is>
          <t>VA SPECIAL FORBEARANCE (38 CFR 36.4301)</t>
        </is>
      </c>
    </row>
    <row r="40" ht="30" customHeight="1">
      <c r="A40" s="3" t="inlineStr">
        <is>
          <t>VA Special Forbearance</t>
        </is>
      </c>
      <c r="B40" s="3" t="inlineStr">
        <is>
          <t>Standard Non-Disaster Hardship</t>
        </is>
      </c>
      <c r="C40" s="3" t="inlineStr">
        <is>
          <t>hardshipType</t>
        </is>
      </c>
      <c r="D40" s="3" t="inlineStr">
        <is>
          <t>In STANDARD_HARDSHIPS list</t>
        </is>
      </c>
      <c r="E40" s="3" t="inlineStr">
        <is>
          <t>Qualifying non-disaster hardship</t>
        </is>
      </c>
      <c r="F40" s="3" t="inlineStr">
        <is>
          <t>Disaster hardship -&gt; use disaster track</t>
        </is>
      </c>
    </row>
    <row r="41" ht="30" customHeight="1">
      <c r="A41" s="4" t="inlineStr">
        <is>
          <t>VA Special Forbearance</t>
        </is>
      </c>
      <c r="B41" s="4" t="inlineStr">
        <is>
          <t>Hardship NOT Resolved (Active)</t>
        </is>
      </c>
      <c r="C41" s="4" t="inlineStr">
        <is>
          <t>hardshipDuration</t>
        </is>
      </c>
      <c r="D41" s="4" t="inlineStr">
        <is>
          <t>Not = Resolved</t>
        </is>
      </c>
      <c r="E41" s="4" t="inlineStr">
        <is>
          <t>Hardship is still ongoing</t>
        </is>
      </c>
      <c r="F41" s="4" t="inlineStr">
        <is>
          <t>Hardship resolved -&gt; use Repayment Plan</t>
        </is>
      </c>
    </row>
    <row r="42" ht="30" customHeight="1">
      <c r="A42" s="3" t="inlineStr">
        <is>
          <t>VA Special Forbearance</t>
        </is>
      </c>
      <c r="B42" s="3" t="inlineStr">
        <is>
          <t>DLQ &gt;= 61 Days</t>
        </is>
      </c>
      <c r="C42" s="3" t="inlineStr">
        <is>
          <t>delinquencyDays</t>
        </is>
      </c>
      <c r="D42" s="3" t="inlineStr">
        <is>
          <t>&gt;= 61 days</t>
        </is>
      </c>
      <c r="E42" s="3" t="inlineStr">
        <is>
          <t>&gt;= 61d DLQ</t>
        </is>
      </c>
      <c r="F42" s="3" t="inlineStr">
        <is>
          <t>&lt; 61d DLQ</t>
        </is>
      </c>
    </row>
    <row r="43" ht="30" customHeight="1">
      <c r="A43" s="4" t="inlineStr">
        <is>
          <t>VA Special Forbearance</t>
        </is>
      </c>
      <c r="B43" s="4" t="inlineStr">
        <is>
          <t>Forbearance Period &lt; 12mo OR Total DLQ &lt; 12mo</t>
        </is>
      </c>
      <c r="C43" s="4" t="inlineStr">
        <is>
          <t>forbearancePeriodLt12 OR totalDLQLt12</t>
        </is>
      </c>
      <c r="D43" s="4" t="inlineStr">
        <is>
          <t>At least one = TRUE</t>
        </is>
      </c>
      <c r="E43" s="4" t="inlineStr">
        <is>
          <t>Within forbearance window</t>
        </is>
      </c>
      <c r="F43" s="4" t="inlineStr">
        <is>
          <t>Both &gt;= 12 months</t>
        </is>
      </c>
    </row>
    <row r="44" ht="30" customHeight="1">
      <c r="A44" s="3" t="inlineStr">
        <is>
          <t>VA Special Forbearance</t>
        </is>
      </c>
      <c r="B44" s="3" t="inlineStr">
        <is>
          <t>Borrower Intent = Retain</t>
        </is>
      </c>
      <c r="C44" s="3" t="inlineStr">
        <is>
          <t>borrowerIntentRetention</t>
        </is>
      </c>
      <c r="D44" s="3">
        <f> TRUE</f>
        <v/>
      </c>
      <c r="E44" s="3" t="inlineStr">
        <is>
          <t>Retention intent</t>
        </is>
      </c>
      <c r="F44" s="3" t="inlineStr">
        <is>
          <t>Disposition intent</t>
        </is>
      </c>
    </row>
    <row r="45" ht="30" customHeight="1">
      <c r="A45" s="4" t="inlineStr">
        <is>
          <t>VA Special Forbearance</t>
        </is>
      </c>
      <c r="B45" s="4" t="inlineStr">
        <is>
          <t>Owner Occupied</t>
        </is>
      </c>
      <c r="C45" s="4" t="inlineStr">
        <is>
          <t>occupancyStatus</t>
        </is>
      </c>
      <c r="D45" s="4">
        <f> Owner Occupied</f>
        <v/>
      </c>
      <c r="E45" s="4" t="inlineStr">
        <is>
          <t>Owner-occupied</t>
        </is>
      </c>
      <c r="F45" s="4" t="inlineStr">
        <is>
          <t>Non-owner-occ</t>
        </is>
      </c>
    </row>
    <row r="46" ht="18" customHeight="1">
      <c r="A46" s="6" t="inlineStr">
        <is>
          <t>VA TRADITIONAL MODIFICATION (38 CFR 36.4315(a) / Circular 26-24-8)</t>
        </is>
      </c>
    </row>
    <row r="47" ht="30" customHeight="1">
      <c r="A47" s="3" t="inlineStr">
        <is>
          <t>Traditional Modification</t>
        </is>
      </c>
      <c r="B47" s="3" t="inlineStr">
        <is>
          <t>Standard Non-Disaster Hardship</t>
        </is>
      </c>
      <c r="C47" s="3" t="inlineStr">
        <is>
          <t>hardshipType</t>
        </is>
      </c>
      <c r="D47" s="3" t="inlineStr">
        <is>
          <t>In STANDARD_HARDSHIPS list</t>
        </is>
      </c>
      <c r="E47" s="3" t="inlineStr">
        <is>
          <t>Non-disaster hardship</t>
        </is>
      </c>
      <c r="F47" s="3" t="inlineStr">
        <is>
          <t>Disaster hardship</t>
        </is>
      </c>
    </row>
    <row r="48" ht="30" customHeight="1">
      <c r="A48" s="4" t="inlineStr">
        <is>
          <t>Traditional Modification</t>
        </is>
      </c>
      <c r="B48" s="4" t="inlineStr">
        <is>
          <t>DLQ &gt;= 61 Days</t>
        </is>
      </c>
      <c r="C48" s="4" t="inlineStr">
        <is>
          <t>delinquencyDays</t>
        </is>
      </c>
      <c r="D48" s="4" t="inlineStr">
        <is>
          <t>&gt;= 61 days</t>
        </is>
      </c>
      <c r="E48" s="4" t="inlineStr">
        <is>
          <t>&gt;= 61d DLQ</t>
        </is>
      </c>
      <c r="F48" s="4" t="inlineStr">
        <is>
          <t>&lt; 61d DLQ</t>
        </is>
      </c>
    </row>
    <row r="49" ht="30" customHeight="1">
      <c r="A49" s="3" t="inlineStr">
        <is>
          <t>Traditional Modification</t>
        </is>
      </c>
      <c r="B49" s="3" t="inlineStr">
        <is>
          <t>Confirmed Cannot Afford Current Payment</t>
        </is>
      </c>
      <c r="C49" s="3" t="inlineStr">
        <is>
          <t>borrowerConfirmedCannotAffordCurrent</t>
        </is>
      </c>
      <c r="D49" s="3">
        <f> TRUE</f>
        <v/>
      </c>
      <c r="E49" s="3" t="inlineStr">
        <is>
          <t>Confirmed inability to make current scheduled payment</t>
        </is>
      </c>
      <c r="F49" s="3" t="inlineStr">
        <is>
          <t>Has not confirmed inability to pay current</t>
        </is>
      </c>
    </row>
    <row r="50" ht="30" customHeight="1">
      <c r="A50" s="4" t="inlineStr">
        <is>
          <t>Traditional Modification</t>
        </is>
      </c>
      <c r="B50" s="4" t="inlineStr">
        <is>
          <t>CAN Afford Modified Payment at 41% DTI</t>
        </is>
      </c>
      <c r="C50" s="4" t="inlineStr">
        <is>
          <t>Calc: (modifiedPI + escrow + monthlyExpenses) / GMI</t>
        </is>
      </c>
      <c r="D50" s="4" t="inlineStr">
        <is>
          <t>&lt;= 41% DTI</t>
        </is>
      </c>
      <c r="E50" s="4" t="inlineStr">
        <is>
          <t>Modified payment is affordable at 41% DTI</t>
        </is>
      </c>
      <c r="F50" s="4" t="inlineStr">
        <is>
          <t>DTI &gt; 41% with modified payment -&gt; try 30-Yr or 40-Yr mod</t>
        </is>
      </c>
    </row>
    <row r="51" ht="30" customHeight="1">
      <c r="A51" s="3" t="inlineStr">
        <is>
          <t>Traditional Modification</t>
        </is>
      </c>
      <c r="B51" s="3" t="inlineStr">
        <is>
          <t>Borrower Intent = Retain</t>
        </is>
      </c>
      <c r="C51" s="3" t="inlineStr">
        <is>
          <t>borrowerIntentRetention</t>
        </is>
      </c>
      <c r="D51" s="3">
        <f> TRUE</f>
        <v/>
      </c>
      <c r="E51" s="3" t="inlineStr">
        <is>
          <t>Retention intent</t>
        </is>
      </c>
      <c r="F51" s="3" t="inlineStr">
        <is>
          <t>Disposition intent</t>
        </is>
      </c>
    </row>
    <row r="52" ht="30" customHeight="1">
      <c r="A52" s="4" t="inlineStr">
        <is>
          <t>Traditional Modification</t>
        </is>
      </c>
      <c r="B52" s="4" t="inlineStr">
        <is>
          <t>Owner Occupied</t>
        </is>
      </c>
      <c r="C52" s="4" t="inlineStr">
        <is>
          <t>occupancyStatus</t>
        </is>
      </c>
      <c r="D52" s="4">
        <f> Owner Occupied</f>
        <v/>
      </c>
      <c r="E52" s="4" t="inlineStr">
        <is>
          <t>Owner-occupied</t>
        </is>
      </c>
      <c r="F52" s="4" t="inlineStr">
        <is>
          <t>Non-owner-occ</t>
        </is>
      </c>
    </row>
    <row r="53" ht="30" customHeight="1">
      <c r="A53" s="3" t="inlineStr">
        <is>
          <t>Traditional Modification</t>
        </is>
      </c>
      <c r="B53" s="3" t="inlineStr">
        <is>
          <t>Arrearages &lt;= 25% of Original UPB</t>
        </is>
      </c>
      <c r="C53" s="3" t="inlineStr">
        <is>
          <t>Calc: (arrearagesToCapitalize + escrowShortage + legalFees) / originalUpb</t>
        </is>
      </c>
      <c r="D53" s="3" t="inlineStr">
        <is>
          <t>&lt;= 25% of original UPB</t>
        </is>
      </c>
      <c r="E53" s="3" t="inlineStr">
        <is>
          <t>Capitalizable arrears within 25% cap</t>
        </is>
      </c>
      <c r="F53" s="3" t="inlineStr">
        <is>
          <t>Arrears &gt; 25% of original UPB</t>
        </is>
      </c>
    </row>
    <row r="54" ht="30" customHeight="1">
      <c r="A54" s="4" t="inlineStr">
        <is>
          <t>Traditional Modification</t>
        </is>
      </c>
      <c r="B54" s="4" t="inlineStr">
        <is>
          <t>New UPB &lt;= Original UPB</t>
        </is>
      </c>
      <c r="C54" s="4" t="inlineStr">
        <is>
          <t>Calc: currentUPB + capitalizedArrears</t>
        </is>
      </c>
      <c r="D54" s="4" t="inlineStr">
        <is>
          <t>&lt;= original UPB</t>
        </is>
      </c>
      <c r="E54" s="4" t="inlineStr">
        <is>
          <t>No net debt increase beyond original balance</t>
        </is>
      </c>
      <c r="F54" s="4" t="inlineStr">
        <is>
          <t>New UPB exceeds original UPB</t>
        </is>
      </c>
    </row>
    <row r="55" ht="30" customHeight="1">
      <c r="A55" s="3" t="inlineStr">
        <is>
          <t>Traditional Modification</t>
        </is>
      </c>
      <c r="B55" s="3" t="inlineStr">
        <is>
          <t>Modification Seasoning (38 CFR 36.4315(a)(3))</t>
        </is>
      </c>
      <c r="C55" s="3" t="inlineStr">
        <is>
          <t>noteDate OR vaLastModDate (auto-computed)</t>
        </is>
      </c>
      <c r="D55" s="3" t="inlineStr">
        <is>
          <t>&gt;= 12 months since origination (first mod) OR &gt;= 12 months since last mod (subsequent)</t>
        </is>
      </c>
      <c r="E55" s="3" t="inlineStr">
        <is>
          <t>Adequate seasoning confirmed</t>
        </is>
      </c>
      <c r="F55" s="3" t="inlineStr">
        <is>
          <t>&lt; 12 months since origination or last mod</t>
        </is>
      </c>
    </row>
    <row r="56" ht="30" customHeight="1">
      <c r="A56" s="4" t="inlineStr">
        <is>
          <t>Traditional Modification</t>
        </is>
      </c>
      <c r="B56" s="4" t="inlineStr">
        <is>
          <t>Prior Mods &lt; 3 Lifetime (38 CFR 36.4315(a)(10))</t>
        </is>
      </c>
      <c r="C56" s="4" t="inlineStr">
        <is>
          <t>vaPriorModCount</t>
        </is>
      </c>
      <c r="D56" s="4" t="inlineStr">
        <is>
          <t>&lt; 3 (max 3 total lifetime modifications)</t>
        </is>
      </c>
      <c r="E56" s="4" t="inlineStr">
        <is>
          <t>0, 1, or 2 prior mods</t>
        </is>
      </c>
      <c r="F56" s="4" t="inlineStr">
        <is>
          <t>&gt;= 3 prior mods - lifetime cap reached</t>
        </is>
      </c>
    </row>
    <row r="57" ht="18" customHeight="1">
      <c r="A57" s="6" t="inlineStr">
        <is>
          <t>VA 30-YEAR LOAN MODIFICATION (38 CFR 36.4315(a)(8)(i))</t>
        </is>
      </c>
    </row>
    <row r="58" ht="30" customHeight="1">
      <c r="A58" s="3" t="inlineStr">
        <is>
          <t>30-Yr Loan Mod</t>
        </is>
      </c>
      <c r="B58" s="3" t="inlineStr">
        <is>
          <t>Standard Non-Disaster Hardship</t>
        </is>
      </c>
      <c r="C58" s="3" t="inlineStr">
        <is>
          <t>hardshipType</t>
        </is>
      </c>
      <c r="D58" s="3" t="inlineStr">
        <is>
          <t>In STANDARD_HARDSHIPS list</t>
        </is>
      </c>
      <c r="E58" s="3" t="inlineStr">
        <is>
          <t>Non-disaster hardship</t>
        </is>
      </c>
      <c r="F58" s="3" t="inlineStr">
        <is>
          <t>Disaster hardship</t>
        </is>
      </c>
    </row>
    <row r="59" ht="30" customHeight="1">
      <c r="A59" s="4" t="inlineStr">
        <is>
          <t>30-Yr Loan Mod</t>
        </is>
      </c>
      <c r="B59" s="4" t="inlineStr">
        <is>
          <t>DLQ &gt;= 61 Days</t>
        </is>
      </c>
      <c r="C59" s="4" t="inlineStr">
        <is>
          <t>delinquencyDays</t>
        </is>
      </c>
      <c r="D59" s="4" t="inlineStr">
        <is>
          <t>&gt;= 61 days</t>
        </is>
      </c>
      <c r="E59" s="4" t="inlineStr">
        <is>
          <t>&gt;= 61d DLQ</t>
        </is>
      </c>
      <c r="F59" s="4" t="inlineStr">
        <is>
          <t>&lt; 61d DLQ</t>
        </is>
      </c>
    </row>
    <row r="60" ht="30" customHeight="1">
      <c r="A60" s="3" t="inlineStr">
        <is>
          <t>30-Yr Loan Mod</t>
        </is>
      </c>
      <c r="B60" s="3" t="inlineStr">
        <is>
          <t>Confirmed Cannot Afford Current Payment</t>
        </is>
      </c>
      <c r="C60" s="3" t="inlineStr">
        <is>
          <t>borrowerConfirmedCannotAffordCurrent</t>
        </is>
      </c>
      <c r="D60" s="3">
        <f> TRUE</f>
        <v/>
      </c>
      <c r="E60" s="3" t="inlineStr">
        <is>
          <t>Confirmed inability to pay current</t>
        </is>
      </c>
      <c r="F60" s="3" t="inlineStr">
        <is>
          <t>Not confirmed</t>
        </is>
      </c>
    </row>
    <row r="61" ht="30" customHeight="1">
      <c r="A61" s="4" t="inlineStr">
        <is>
          <t>30-Yr Loan Mod</t>
        </is>
      </c>
      <c r="B61" s="4" t="inlineStr">
        <is>
          <t>CANNOT Afford Current Payment (DTI &gt; 41%)</t>
        </is>
      </c>
      <c r="C61" s="4" t="inlineStr">
        <is>
          <t>Calc: (currentPITI + monthlyExpenses) / GMI</t>
        </is>
      </c>
      <c r="D61" s="4" t="inlineStr">
        <is>
          <t>&gt; 41% DTI (cannot afford)</t>
        </is>
      </c>
      <c r="E61" s="4" t="inlineStr">
        <is>
          <t>Cannot afford current payment -&gt; payment reduction needed</t>
        </is>
      </c>
      <c r="F61" s="4" t="inlineStr">
        <is>
          <t>Can afford current payment -&gt; use Traditional Mod instead</t>
        </is>
      </c>
    </row>
    <row r="62" ht="30" customHeight="1">
      <c r="A62" s="3" t="inlineStr">
        <is>
          <t>30-Yr Loan Mod</t>
        </is>
      </c>
      <c r="B62" s="3" t="inlineStr">
        <is>
          <t>Borrower Intent = Retain</t>
        </is>
      </c>
      <c r="C62" s="3" t="inlineStr">
        <is>
          <t>borrowerIntentRetention</t>
        </is>
      </c>
      <c r="D62" s="3">
        <f> TRUE</f>
        <v/>
      </c>
      <c r="E62" s="3" t="inlineStr">
        <is>
          <t>Retention intent</t>
        </is>
      </c>
      <c r="F62" s="3" t="inlineStr">
        <is>
          <t>Disposition intent</t>
        </is>
      </c>
    </row>
    <row r="63" ht="30" customHeight="1">
      <c r="A63" s="4" t="inlineStr">
        <is>
          <t>30-Yr Loan Mod</t>
        </is>
      </c>
      <c r="B63" s="4" t="inlineStr">
        <is>
          <t>Owner Occupied</t>
        </is>
      </c>
      <c r="C63" s="4" t="inlineStr">
        <is>
          <t>occupancyStatus</t>
        </is>
      </c>
      <c r="D63" s="4">
        <f> Owner Occupied</f>
        <v/>
      </c>
      <c r="E63" s="4" t="inlineStr">
        <is>
          <t>Owner-occupied</t>
        </is>
      </c>
      <c r="F63" s="4" t="inlineStr">
        <is>
          <t>Non-owner-occ</t>
        </is>
      </c>
    </row>
    <row r="64" ht="30" customHeight="1">
      <c r="A64" s="3" t="inlineStr">
        <is>
          <t>30-Yr Loan Mod</t>
        </is>
      </c>
      <c r="B64" s="3" t="inlineStr">
        <is>
          <t>Arrearages &lt;= 25% of Original UPB</t>
        </is>
      </c>
      <c r="C64" s="3" t="inlineStr">
        <is>
          <t>Calc: capitalizedArrears / originalUpb</t>
        </is>
      </c>
      <c r="D64" s="3" t="inlineStr">
        <is>
          <t>&lt;= 25%</t>
        </is>
      </c>
      <c r="E64" s="3" t="inlineStr">
        <is>
          <t>Within 25% cap</t>
        </is>
      </c>
      <c r="F64" s="3" t="inlineStr">
        <is>
          <t>Arrears &gt; 25% -&gt; 40-Yr Mod has no cap</t>
        </is>
      </c>
    </row>
    <row r="65" ht="30" customHeight="1">
      <c r="A65" s="4" t="inlineStr">
        <is>
          <t>30-Yr Loan Mod</t>
        </is>
      </c>
      <c r="B65" s="4" t="inlineStr">
        <is>
          <t>New UPB &lt;= Original UPB</t>
        </is>
      </c>
      <c r="C65" s="4" t="inlineStr">
        <is>
          <t>Calc: currentUPB + capitalizedArrears</t>
        </is>
      </c>
      <c r="D65" s="4" t="inlineStr">
        <is>
          <t>&lt;= original UPB</t>
        </is>
      </c>
      <c r="E65" s="4" t="inlineStr">
        <is>
          <t>New balance within original cap</t>
        </is>
      </c>
      <c r="F65" s="4" t="inlineStr">
        <is>
          <t>Exceeds original UPB -&gt; try 40-Yr Mod</t>
        </is>
      </c>
    </row>
    <row r="66" ht="30" customHeight="1">
      <c r="A66" s="3" t="inlineStr">
        <is>
          <t>30-Yr Loan Mod</t>
        </is>
      </c>
      <c r="B66" s="3" t="inlineStr">
        <is>
          <t>Modification Seasoning</t>
        </is>
      </c>
      <c r="C66" s="3" t="inlineStr">
        <is>
          <t>noteDate OR vaLastModDate (auto-computed)</t>
        </is>
      </c>
      <c r="D66" s="3" t="inlineStr">
        <is>
          <t>&gt;= 12 months seasoning</t>
        </is>
      </c>
      <c r="E66" s="3" t="inlineStr">
        <is>
          <t>Adequate seasoning</t>
        </is>
      </c>
      <c r="F66" s="3" t="inlineStr">
        <is>
          <t>&lt; 12 months seasoning</t>
        </is>
      </c>
    </row>
    <row r="67" ht="30" customHeight="1">
      <c r="A67" s="4" t="inlineStr">
        <is>
          <t>30-Yr Loan Mod</t>
        </is>
      </c>
      <c r="B67" s="4" t="inlineStr">
        <is>
          <t>Prior Mods &lt; 3 Lifetime</t>
        </is>
      </c>
      <c r="C67" s="4" t="inlineStr">
        <is>
          <t>vaPriorModCount</t>
        </is>
      </c>
      <c r="D67" s="4" t="inlineStr">
        <is>
          <t>&lt; 3 mods</t>
        </is>
      </c>
      <c r="E67" s="4" t="inlineStr">
        <is>
          <t>0-2 prior mods</t>
        </is>
      </c>
      <c r="F67" s="4" t="inlineStr">
        <is>
          <t>&gt;= 3 prior mods</t>
        </is>
      </c>
    </row>
    <row r="68" ht="30" customHeight="1">
      <c r="A68" s="3" t="inlineStr">
        <is>
          <t>30-Yr Loan Mod</t>
        </is>
      </c>
      <c r="B68" s="3" t="inlineStr">
        <is>
          <t>Rate Formula</t>
        </is>
      </c>
      <c r="C68" s="3" t="inlineStr">
        <is>
          <t>pmmsRate (user input)</t>
        </is>
      </c>
      <c r="D68" s="3" t="inlineStr">
        <is>
          <t>PMMS rounded to nearest 0.125%, capped at current rate + 1%</t>
        </is>
      </c>
      <c r="E68" s="3" t="inlineStr">
        <is>
          <t>Rate determined</t>
        </is>
      </c>
      <c r="F68" s="3" t="inlineStr">
        <is>
          <t>N/A - always calculated if PMMS entered</t>
        </is>
      </c>
    </row>
    <row r="69" ht="30" customHeight="1">
      <c r="A69" s="4" t="inlineStr">
        <is>
          <t>30-Yr Loan Mod</t>
        </is>
      </c>
      <c r="B69" s="4" t="inlineStr">
        <is>
          <t>Term</t>
        </is>
      </c>
      <c r="C69" s="4" t="inlineStr">
        <is>
          <t>N/A</t>
        </is>
      </c>
      <c r="D69" s="4" t="inlineStr">
        <is>
          <t>360 months (30 years)</t>
        </is>
      </c>
      <c r="E69" s="4" t="inlineStr">
        <is>
          <t>Fixed 30-year term</t>
        </is>
      </c>
      <c r="F69" s="4" t="inlineStr">
        <is>
          <t>N/A</t>
        </is>
      </c>
    </row>
    <row r="70" ht="18" customHeight="1">
      <c r="A70" s="6" t="inlineStr">
        <is>
          <t>VA 40-YEAR LOAN MODIFICATION (38 CFR 36.4315(a)(8)(i) / Circular 26-25-2 eff. May 1 2025)</t>
        </is>
      </c>
    </row>
    <row r="71" ht="30" customHeight="1">
      <c r="A71" s="3" t="inlineStr">
        <is>
          <t>40-Yr Loan Mod</t>
        </is>
      </c>
      <c r="B71" s="3" t="inlineStr">
        <is>
          <t>Standard Non-Disaster Hardship</t>
        </is>
      </c>
      <c r="C71" s="3" t="inlineStr">
        <is>
          <t>hardshipType</t>
        </is>
      </c>
      <c r="D71" s="3" t="inlineStr">
        <is>
          <t>In STANDARD_HARDSHIPS list</t>
        </is>
      </c>
      <c r="E71" s="3" t="inlineStr">
        <is>
          <t>Non-disaster hardship</t>
        </is>
      </c>
      <c r="F71" s="3" t="inlineStr">
        <is>
          <t>Disaster hardship</t>
        </is>
      </c>
    </row>
    <row r="72" ht="30" customHeight="1">
      <c r="A72" s="4" t="inlineStr">
        <is>
          <t>40-Yr Loan Mod</t>
        </is>
      </c>
      <c r="B72" s="4" t="inlineStr">
        <is>
          <t>DLQ &gt;= 61 Days</t>
        </is>
      </c>
      <c r="C72" s="4" t="inlineStr">
        <is>
          <t>delinquencyDays</t>
        </is>
      </c>
      <c r="D72" s="4" t="inlineStr">
        <is>
          <t>&gt;= 61 days</t>
        </is>
      </c>
      <c r="E72" s="4" t="inlineStr">
        <is>
          <t>&gt;= 61d DLQ</t>
        </is>
      </c>
      <c r="F72" s="4" t="inlineStr">
        <is>
          <t>&lt; 61d DLQ</t>
        </is>
      </c>
    </row>
    <row r="73" ht="30" customHeight="1">
      <c r="A73" s="3" t="inlineStr">
        <is>
          <t>40-Yr Loan Mod</t>
        </is>
      </c>
      <c r="B73" s="3" t="inlineStr">
        <is>
          <t>Confirmed Cannot Afford Current Payment</t>
        </is>
      </c>
      <c r="C73" s="3" t="inlineStr">
        <is>
          <t>borrowerConfirmedCannotAffordCurrent</t>
        </is>
      </c>
      <c r="D73" s="3">
        <f> TRUE</f>
        <v/>
      </c>
      <c r="E73" s="3" t="inlineStr">
        <is>
          <t>Confirmed inability to pay current</t>
        </is>
      </c>
      <c r="F73" s="3" t="inlineStr">
        <is>
          <t>Not confirmed</t>
        </is>
      </c>
    </row>
    <row r="74" ht="30" customHeight="1">
      <c r="A74" s="4" t="inlineStr">
        <is>
          <t>40-Yr Loan Mod</t>
        </is>
      </c>
      <c r="B74" s="4" t="inlineStr">
        <is>
          <t>Owner Occupied</t>
        </is>
      </c>
      <c r="C74" s="4" t="inlineStr">
        <is>
          <t>occupancyStatus</t>
        </is>
      </c>
      <c r="D74" s="4">
        <f> Owner Occupied</f>
        <v/>
      </c>
      <c r="E74" s="4" t="inlineStr">
        <is>
          <t>Owner-occupied</t>
        </is>
      </c>
      <c r="F74" s="4" t="inlineStr">
        <is>
          <t>Non-owner-occ</t>
        </is>
      </c>
    </row>
    <row r="75" ht="30" customHeight="1">
      <c r="A75" s="3" t="inlineStr">
        <is>
          <t>40-Yr Loan Mod</t>
        </is>
      </c>
      <c r="B75" s="3" t="inlineStr">
        <is>
          <t>Borrower Intent = Retain</t>
        </is>
      </c>
      <c r="C75" s="3" t="inlineStr">
        <is>
          <t>borrowerIntentRetention</t>
        </is>
      </c>
      <c r="D75" s="3">
        <f> TRUE</f>
        <v/>
      </c>
      <c r="E75" s="3" t="inlineStr">
        <is>
          <t>Retention intent</t>
        </is>
      </c>
      <c r="F75" s="3" t="inlineStr">
        <is>
          <t>Disposition intent</t>
        </is>
      </c>
    </row>
    <row r="76" ht="30" customHeight="1">
      <c r="A76" s="4" t="inlineStr">
        <is>
          <t>40-Yr Loan Mod</t>
        </is>
      </c>
      <c r="B76" s="4" t="inlineStr">
        <is>
          <t>Modification Seasoning</t>
        </is>
      </c>
      <c r="C76" s="4" t="inlineStr">
        <is>
          <t>noteDate OR vaLastModDate (auto-computed)</t>
        </is>
      </c>
      <c r="D76" s="4" t="inlineStr">
        <is>
          <t>&gt;= 12 months seasoning</t>
        </is>
      </c>
      <c r="E76" s="4" t="inlineStr">
        <is>
          <t>Adequate seasoning</t>
        </is>
      </c>
      <c r="F76" s="4" t="inlineStr">
        <is>
          <t>&lt; 12 months seasoning</t>
        </is>
      </c>
    </row>
    <row r="77" ht="30" customHeight="1">
      <c r="A77" s="3" t="inlineStr">
        <is>
          <t>40-Yr Loan Mod</t>
        </is>
      </c>
      <c r="B77" s="3" t="inlineStr">
        <is>
          <t>Prior Mods &lt; 3 Lifetime</t>
        </is>
      </c>
      <c r="C77" s="3" t="inlineStr">
        <is>
          <t>vaPriorModCount</t>
        </is>
      </c>
      <c r="D77" s="3" t="inlineStr">
        <is>
          <t>&lt; 3 mods</t>
        </is>
      </c>
      <c r="E77" s="3" t="inlineStr">
        <is>
          <t>0-2 prior mods</t>
        </is>
      </c>
      <c r="F77" s="3" t="inlineStr">
        <is>
          <t>&gt;= 3 prior mods</t>
        </is>
      </c>
    </row>
    <row r="78" ht="30" customHeight="1">
      <c r="A78" s="4" t="inlineStr">
        <is>
          <t>40-Yr Loan Mod</t>
        </is>
      </c>
      <c r="B78" s="4" t="inlineStr">
        <is>
          <t>Rate Formula</t>
        </is>
      </c>
      <c r="C78" s="4" t="inlineStr">
        <is>
          <t>pmmsRate (user input)</t>
        </is>
      </c>
      <c r="D78" s="4" t="inlineStr">
        <is>
          <t>PMMS rounded to nearest 0.125%, capped at current rate + 1%</t>
        </is>
      </c>
      <c r="E78" s="4" t="inlineStr">
        <is>
          <t>Rate determined</t>
        </is>
      </c>
      <c r="F78" s="4" t="inlineStr">
        <is>
          <t>N/A</t>
        </is>
      </c>
    </row>
    <row r="79" ht="30" customHeight="1">
      <c r="A79" s="3" t="inlineStr">
        <is>
          <t>40-Yr Loan Mod</t>
        </is>
      </c>
      <c r="B79" s="3" t="inlineStr">
        <is>
          <t>Term</t>
        </is>
      </c>
      <c r="C79" s="3" t="inlineStr">
        <is>
          <t>N/A</t>
        </is>
      </c>
      <c r="D79" s="3" t="inlineStr">
        <is>
          <t>480 months (40 years)</t>
        </is>
      </c>
      <c r="E79" s="3" t="inlineStr">
        <is>
          <t>Fixed 40-year term</t>
        </is>
      </c>
      <c r="F79" s="3" t="inlineStr">
        <is>
          <t>N/A</t>
        </is>
      </c>
    </row>
    <row r="80" ht="30" customHeight="1">
      <c r="A80" s="4" t="inlineStr">
        <is>
          <t>40-Yr Loan Mod</t>
        </is>
      </c>
      <c r="B80" s="4" t="inlineStr">
        <is>
          <t>NO Arrearages Cap</t>
        </is>
      </c>
      <c r="C80" s="4" t="inlineStr">
        <is>
          <t>N/A</t>
        </is>
      </c>
      <c r="D80" s="4" t="inlineStr">
        <is>
          <t>No 25% arrears cap for 40-Yr</t>
        </is>
      </c>
      <c r="E80" s="4" t="inlineStr">
        <is>
          <t>Always passes (no cap check)</t>
        </is>
      </c>
      <c r="F80" s="4" t="inlineStr">
        <is>
          <t>KEY DIFFERENCE from Traditional and 30-Yr Mods</t>
        </is>
      </c>
    </row>
    <row r="81" ht="30" customHeight="1">
      <c r="A81" s="3" t="inlineStr">
        <is>
          <t>40-Yr Loan Mod</t>
        </is>
      </c>
      <c r="B81" s="3" t="inlineStr">
        <is>
          <t>NO UPB Cap</t>
        </is>
      </c>
      <c r="C81" s="3" t="inlineStr">
        <is>
          <t>N/A</t>
        </is>
      </c>
      <c r="D81" s="3" t="inlineStr">
        <is>
          <t>No original UPB cap for 40-Yr</t>
        </is>
      </c>
      <c r="E81" s="3" t="inlineStr">
        <is>
          <t>Always passes (no UPB check)</t>
        </is>
      </c>
      <c r="F81" s="3" t="inlineStr">
        <is>
          <t>KEY DIFFERENCE from Traditional and 30-Yr Mods</t>
        </is>
      </c>
    </row>
    <row r="82" ht="30" customHeight="1">
      <c r="A82" s="4" t="inlineStr">
        <is>
          <t>40-Yr Loan Mod</t>
        </is>
      </c>
      <c r="B82" s="4" t="inlineStr">
        <is>
          <t>NO Modified Payment Affordability Check</t>
        </is>
      </c>
      <c r="C82" s="4" t="inlineStr">
        <is>
          <t>N/A</t>
        </is>
      </c>
      <c r="D82" s="4" t="inlineStr">
        <is>
          <t>No 41% DTI check on modified payment</t>
        </is>
      </c>
      <c r="E82" s="4" t="inlineStr">
        <is>
          <t>Always passes</t>
        </is>
      </c>
      <c r="F82" s="4" t="inlineStr">
        <is>
          <t>KEY DIFFERENCE - no affordability gate for modified payment</t>
        </is>
      </c>
    </row>
    <row r="83" ht="30" customHeight="1">
      <c r="A83" s="3" t="inlineStr">
        <is>
          <t>40-Yr Loan Mod</t>
        </is>
      </c>
      <c r="B83" s="3" t="inlineStr">
        <is>
          <t>10% P&amp;I Reduction Requirement</t>
        </is>
      </c>
      <c r="C83" s="3" t="inlineStr">
        <is>
          <t>N/A (REMOVED)</t>
        </is>
      </c>
      <c r="D83" s="3" t="inlineStr">
        <is>
          <t>REMOVED per Circular 26-25-2 (May 1, 2025)</t>
        </is>
      </c>
      <c r="E83" s="3" t="inlineStr">
        <is>
          <t>No longer required</t>
        </is>
      </c>
      <c r="F83" s="3" t="inlineStr">
        <is>
          <t>Previously required &gt;= 10% P&amp;I reduction - now removed</t>
        </is>
      </c>
    </row>
    <row r="84" ht="18" customHeight="1">
      <c r="A84" s="7" t="inlineStr">
        <is>
          <t>VASP - VA PARTIAL CLAIM (DISCONTINUED)</t>
        </is>
      </c>
    </row>
    <row r="85" ht="30" customHeight="1">
      <c r="A85" s="5" t="inlineStr">
        <is>
          <t>VASP</t>
        </is>
      </c>
      <c r="B85" s="5" t="inlineStr">
        <is>
          <t>Program Status</t>
        </is>
      </c>
      <c r="C85" s="5" t="inlineStr">
        <is>
          <t>N/A</t>
        </is>
      </c>
      <c r="D85" s="5" t="inlineStr">
        <is>
          <t>DISCONTINUED</t>
        </is>
      </c>
      <c r="E85" s="5" t="inlineStr">
        <is>
          <t>N/A - permanently ineligible</t>
        </is>
      </c>
      <c r="F85" s="5" t="inlineStr">
        <is>
          <t>DISCONTINUED per Circular 26-25-2 effective May 1, 2025. New VA partial claim authorized by VA Home Loan Program Reform Act (Jul 30, 2025) - implementation guidance PENDING. Use 40-Yr Mod for current defaults.</t>
        </is>
      </c>
    </row>
    <row r="86" ht="18" customHeight="1">
      <c r="A86" s="6" t="inlineStr">
        <is>
          <t>VA COMPROMISE SALE (VA M26-4 Ch. 5 Sec 3.A / Circular 26-24-2)</t>
        </is>
      </c>
    </row>
    <row r="87" ht="30" customHeight="1">
      <c r="A87" s="3" t="inlineStr">
        <is>
          <t>Compromise Sale</t>
        </is>
      </c>
      <c r="B87" s="3" t="inlineStr">
        <is>
          <t>Long-Term or Permanent Hardship</t>
        </is>
      </c>
      <c r="C87" s="3" t="inlineStr">
        <is>
          <t>hardshipDuration</t>
        </is>
      </c>
      <c r="D87" s="3">
        <f> Long Term OR = Permanent</f>
        <v/>
      </c>
      <c r="E87" s="3" t="inlineStr">
        <is>
          <t>Hardship is long-term or permanent</t>
        </is>
      </c>
      <c r="F87" s="3" t="inlineStr">
        <is>
          <t>Temporary or resolved hardship</t>
        </is>
      </c>
    </row>
    <row r="88" ht="30" customHeight="1">
      <c r="A88" s="4" t="inlineStr">
        <is>
          <t>Compromise Sale</t>
        </is>
      </c>
      <c r="B88" s="4" t="inlineStr">
        <is>
          <t>Disposition Intent (Not Retention)</t>
        </is>
      </c>
      <c r="C88" s="4" t="inlineStr">
        <is>
          <t>borrowerIntentRetention</t>
        </is>
      </c>
      <c r="D88" s="4">
        <f> FALSE</f>
        <v/>
      </c>
      <c r="E88" s="4" t="inlineStr">
        <is>
          <t>Borrower wants to sell / disposition</t>
        </is>
      </c>
      <c r="F88" s="4" t="inlineStr">
        <is>
          <t>Retention intent -&gt; use home retention options</t>
        </is>
      </c>
    </row>
    <row r="89" ht="30" customHeight="1">
      <c r="A89" s="3" t="inlineStr">
        <is>
          <t>Compromise Sale</t>
        </is>
      </c>
      <c r="B89" s="3" t="inlineStr">
        <is>
          <t>DLQ &lt;= 60d: Complete BRP Required</t>
        </is>
      </c>
      <c r="C89" s="3" t="inlineStr">
        <is>
          <t>completeBRP (if dlqDays &lt;= 60)</t>
        </is>
      </c>
      <c r="D89" s="3">
        <f> TRUE if DLQ &lt;= 60 days</f>
        <v/>
      </c>
      <c r="E89" s="3" t="inlineStr">
        <is>
          <t>Complete Borrower Response Package submitted when DLQ &lt;= 60d</t>
        </is>
      </c>
      <c r="F89" s="3" t="inlineStr">
        <is>
          <t>BRP not complete when DLQ &lt;= 60d</t>
        </is>
      </c>
    </row>
    <row r="90" ht="30" customHeight="1">
      <c r="A90" s="4" t="inlineStr">
        <is>
          <t>Compromise Sale</t>
        </is>
      </c>
      <c r="B90" s="4" t="inlineStr">
        <is>
          <t>DLQ &gt;= 60d: Disposition Intent Required</t>
        </is>
      </c>
      <c r="C90" s="4" t="inlineStr">
        <is>
          <t>borrowerIntentDisposition (if dlqDays &gt;= 60)</t>
        </is>
      </c>
      <c r="D90" s="4">
        <f> TRUE if DLQ &gt;= 60 days</f>
        <v/>
      </c>
      <c r="E90" s="4" t="inlineStr">
        <is>
          <t>Disposition intent confirmed when DLQ &gt;= 60d (no BRP required)</t>
        </is>
      </c>
      <c r="F90" s="4" t="inlineStr">
        <is>
          <t>N/A if DLQ &lt; 60d</t>
        </is>
      </c>
    </row>
    <row r="91" ht="30" customHeight="1">
      <c r="A91" s="3" t="inlineStr">
        <is>
          <t>Compromise Sale</t>
        </is>
      </c>
      <c r="B91" s="3" t="inlineStr">
        <is>
          <t>VA RLC Approval Required (Manual)</t>
        </is>
      </c>
      <c r="C91" s="3" t="inlineStr">
        <is>
          <t>N/A - process requirement</t>
        </is>
      </c>
      <c r="D91" s="3" t="inlineStr">
        <is>
          <t>VA Regional Loan Center approval</t>
        </is>
      </c>
      <c r="E91" s="3" t="inlineStr">
        <is>
          <t>All Compromise Sales require VA RLC approval</t>
        </is>
      </c>
      <c r="F91" s="3" t="inlineStr">
        <is>
          <t>Cannot close without VA RLC approval - submit fully executed purchase contract + VA BPO/appraisal</t>
        </is>
      </c>
    </row>
    <row r="92" ht="18" customHeight="1">
      <c r="A92" s="6" t="inlineStr">
        <is>
          <t>VA DEED-IN-LIEU (VA M26-4 Ch. 5)</t>
        </is>
      </c>
    </row>
    <row r="93" ht="30" customHeight="1">
      <c r="A93" s="4" t="inlineStr">
        <is>
          <t>Deed-in-Lieu</t>
        </is>
      </c>
      <c r="B93" s="4" t="inlineStr">
        <is>
          <t>All Compromise Sale Criteria Pass</t>
        </is>
      </c>
      <c r="C93" s="4" t="inlineStr">
        <is>
          <t>All Compromise Sale eligibility criteria</t>
        </is>
      </c>
      <c r="D93" s="4" t="inlineStr">
        <is>
          <t>All CE conditions pass</t>
        </is>
      </c>
      <c r="E93" s="4" t="inlineStr">
        <is>
          <t>Compromise Sale base eligible</t>
        </is>
      </c>
      <c r="F93" s="4" t="inlineStr">
        <is>
          <t>Any Compromise Sale condition fails -&gt; not eligible for DIL</t>
        </is>
      </c>
    </row>
    <row r="94" ht="30" customHeight="1">
      <c r="A94" s="3" t="inlineStr">
        <is>
          <t>Deed-in-Lieu</t>
        </is>
      </c>
      <c r="B94" s="3" t="inlineStr">
        <is>
          <t>Prior Compromise Sale FAILED</t>
        </is>
      </c>
      <c r="C94" s="3" t="inlineStr">
        <is>
          <t>priorWorkoutCompromiseSaleFailed</t>
        </is>
      </c>
      <c r="D94" s="3">
        <f> TRUE</f>
        <v/>
      </c>
      <c r="E94" s="3" t="inlineStr">
        <is>
          <t>Compromise Sale was attempted and failed</t>
        </is>
      </c>
      <c r="F94" s="3" t="inlineStr">
        <is>
          <t>Compromise Sale not yet attempted -&gt; must try CS first</t>
        </is>
      </c>
    </row>
    <row r="95" ht="30" customHeight="1">
      <c r="A95" s="4" t="inlineStr">
        <is>
          <t>Deed-in-Lieu</t>
        </is>
      </c>
      <c r="B95" s="4" t="inlineStr">
        <is>
          <t>Clear Title Required</t>
        </is>
      </c>
      <c r="C95" s="4" t="inlineStr">
        <is>
          <t>N/A - process requirement</t>
        </is>
      </c>
      <c r="D95" s="4" t="inlineStr">
        <is>
          <t>Property title must be clear and unencumbered</t>
        </is>
      </c>
      <c r="E95" s="4" t="inlineStr">
        <is>
          <t>Title clear for transfer</t>
        </is>
      </c>
      <c r="F95" s="4" t="inlineStr">
        <is>
          <t>Subordinate liens must be resolved before DIL</t>
        </is>
      </c>
    </row>
    <row r="96" ht="30" customHeight="1">
      <c r="A96" s="3" t="inlineStr">
        <is>
          <t>Deed-in-Lieu</t>
        </is>
      </c>
      <c r="B96" s="3" t="inlineStr">
        <is>
          <t>Borrower Must Vacate</t>
        </is>
      </c>
      <c r="C96" s="3" t="inlineStr">
        <is>
          <t>N/A - process requirement</t>
        </is>
      </c>
      <c r="D96" s="3" t="inlineStr">
        <is>
          <t>Borrower vacates prior to deed conveyance</t>
        </is>
      </c>
      <c r="E96" s="3" t="inlineStr">
        <is>
          <t>Property conveyed vacant</t>
        </is>
      </c>
      <c r="F96" s="3" t="inlineStr">
        <is>
          <t>Cannot convey with borrower in occupancy</t>
        </is>
      </c>
    </row>
  </sheetData>
  <mergeCells count="14">
    <mergeCell ref="A92:F92"/>
    <mergeCell ref="A28:F28"/>
    <mergeCell ref="A46:F46"/>
    <mergeCell ref="A84:F84"/>
    <mergeCell ref="A13:F13"/>
    <mergeCell ref="A1:F1"/>
    <mergeCell ref="A70:F70"/>
    <mergeCell ref="A8:F8"/>
    <mergeCell ref="A31:F31"/>
    <mergeCell ref="A3:F3"/>
    <mergeCell ref="A21:F21"/>
    <mergeCell ref="A39:F39"/>
    <mergeCell ref="A86:F86"/>
    <mergeCell ref="A57:F5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28" customWidth="1" min="1" max="1"/>
    <col width="38" customWidth="1" min="2" max="2"/>
    <col width="30" customWidth="1" min="3" max="3"/>
    <col width="20" customWidth="1" min="4" max="4"/>
    <col width="28" customWidth="1" min="5" max="5"/>
    <col width="28" customWidth="1" min="6" max="6"/>
  </cols>
  <sheetData>
    <row r="1" ht="22" customHeight="1">
      <c r="A1" s="1" t="inlineStr">
        <is>
          <t>VA - Rate, Payment &amp; Affordability Calculations</t>
        </is>
      </c>
    </row>
    <row r="2" ht="20" customHeight="1">
      <c r="A2" s="2" t="inlineStr">
        <is>
          <t>Calculation</t>
        </is>
      </c>
      <c r="B2" s="2" t="inlineStr">
        <is>
          <t>Formula</t>
        </is>
      </c>
      <c r="C2" s="2" t="inlineStr">
        <is>
          <t>Example</t>
        </is>
      </c>
      <c r="D2" s="2" t="inlineStr">
        <is>
          <t>Source</t>
        </is>
      </c>
      <c r="E2" s="2" t="inlineStr">
        <is>
          <t>Pass Condition</t>
        </is>
      </c>
      <c r="F2" s="2" t="inlineStr">
        <is>
          <t>Notes</t>
        </is>
      </c>
    </row>
    <row r="3" ht="36" customHeight="1">
      <c r="A3" s="3" t="inlineStr">
        <is>
          <t>VA Modification Rate</t>
        </is>
      </c>
      <c r="B3" s="3" t="inlineStr">
        <is>
          <t>PMMS rounded to nearest 0.125%, capped at min(PMMS, current rate + 1%)</t>
        </is>
      </c>
      <c r="C3" s="3" t="inlineStr">
        <is>
          <t>PMMS=7.25%, current=6.75% -&gt; min(7.25, 6.75+1.0)=7.25% -&gt; round to 7.25%</t>
        </is>
      </c>
      <c r="D3" s="3" t="inlineStr">
        <is>
          <t>38 CFR 36.4315(a)(8)(i)</t>
        </is>
      </c>
      <c r="E3" s="3" t="inlineStr">
        <is>
          <t>Rate always determined if PMMS entered</t>
        </is>
      </c>
      <c r="F3" s="3" t="inlineStr">
        <is>
          <t>Never exceeds current note rate + 1%; rounded to nearest 0.125%</t>
        </is>
      </c>
    </row>
    <row r="4" ht="36" customHeight="1">
      <c r="A4" s="4" t="inlineStr">
        <is>
          <t>Rate Cap Check (vapmmsLeCurrentPlus1)</t>
        </is>
      </c>
      <c r="B4" s="4" t="inlineStr">
        <is>
          <t>PMMS &lt;= currentInterestRate + 1.0%</t>
        </is>
      </c>
      <c r="C4" s="4" t="inlineStr">
        <is>
          <t>7.25% &lt;= 6.75% + 1.0% = 7.75% -&gt; 7.25% &lt;= 7.75% -&gt; PASS</t>
        </is>
      </c>
      <c r="D4" s="4" t="inlineStr">
        <is>
          <t>38 CFR 36.4315(a)(8)(i)</t>
        </is>
      </c>
      <c r="E4" s="4" t="inlineStr">
        <is>
          <t>PMMS within cap</t>
        </is>
      </c>
      <c r="F4" s="4" t="inlineStr">
        <is>
          <t>If PMMS &gt; current+1%, modification rate is capped at current+1%</t>
        </is>
      </c>
    </row>
    <row r="5" ht="36" customHeight="1">
      <c r="A5" s="3" t="inlineStr">
        <is>
          <t>New UPB (capitalization)</t>
        </is>
      </c>
      <c r="B5" s="3" t="inlineStr">
        <is>
          <t>current UPB + arrearagesToCapitalize + escrowShortage + legalFees</t>
        </is>
      </c>
      <c r="C5" s="3" t="inlineStr">
        <is>
          <t>$220,000 + $11,000 + $1,800 + $700 = $233,500</t>
        </is>
      </c>
      <c r="D5" s="3" t="inlineStr">
        <is>
          <t>38 CFR 36.4315</t>
        </is>
      </c>
      <c r="E5" s="3" t="inlineStr">
        <is>
          <t>Used in arrears % and UPB cap checks</t>
        </is>
      </c>
      <c r="F5" s="3" t="inlineStr">
        <is>
          <t>All capitalizable items added to principal</t>
        </is>
      </c>
    </row>
    <row r="6" ht="36" customHeight="1">
      <c r="A6" s="4" t="inlineStr">
        <is>
          <t>Arrearages % of Original UPB</t>
        </is>
      </c>
      <c r="B6" s="4" t="inlineStr">
        <is>
          <t>(arrearagesToCapitalize + escrowShortage + legalFees) / originalUpb * 100</t>
        </is>
      </c>
      <c r="C6" s="4" t="inlineStr">
        <is>
          <t>($11,000 + $1,800 + $700) / $230,000 = 5.87%</t>
        </is>
      </c>
      <c r="D6" s="4" t="inlineStr">
        <is>
          <t>VA M26-4</t>
        </is>
      </c>
      <c r="E6" s="4" t="inlineStr">
        <is>
          <t>&lt;= 25% for Traditional and 30-Yr Mods</t>
        </is>
      </c>
      <c r="F6" s="4" t="inlineStr">
        <is>
          <t>40-Yr Mod has NO 25% arrears cap - use when arrears exceed 25%</t>
        </is>
      </c>
    </row>
    <row r="7" ht="36" customHeight="1">
      <c r="A7" s="3" t="inlineStr">
        <is>
          <t>New UPB &lt;= Original UPB Check</t>
        </is>
      </c>
      <c r="B7" s="3" t="inlineStr">
        <is>
          <t>currentUPB + capitalizedArrears &lt;= originalUpb</t>
        </is>
      </c>
      <c r="C7" s="3" t="inlineStr">
        <is>
          <t>$233,500 &lt;= $230,000? -&gt; FAIL -&gt; 40-Yr or Traditional Mod needed</t>
        </is>
      </c>
      <c r="D7" s="3" t="inlineStr">
        <is>
          <t>VA M26-4</t>
        </is>
      </c>
      <c r="E7" s="3" t="inlineStr">
        <is>
          <t>&lt;= original UPB for Traditional and 30-Yr Mods</t>
        </is>
      </c>
      <c r="F7" s="3" t="inlineStr">
        <is>
          <t>40-Yr Mod has NO UPB cap; use 40-Yr when new UPB would exceed original</t>
        </is>
      </c>
    </row>
    <row r="8" ht="36" customHeight="1">
      <c r="A8" s="4" t="inlineStr">
        <is>
          <t>RPP/Reinstatement Affordability DTI</t>
        </is>
      </c>
      <c r="B8" s="4" t="inlineStr">
        <is>
          <t>(currentPITI + arrears/repayMonths + monthlyExpenses) / grossMonthlyIncome</t>
        </is>
      </c>
      <c r="C8" s="4" t="inlineStr">
        <is>
          <t>($1,500 + $8,400/6 + $800) / $6,000 = ($1,500+$1,400+$800)/$6,000 = 62% -&gt; FAIL</t>
        </is>
      </c>
      <c r="D8" s="4" t="inlineStr">
        <is>
          <t>VA M26-4 / 38 CFR 36.4301</t>
        </is>
      </c>
      <c r="E8" s="4" t="inlineStr">
        <is>
          <t>&lt;= 41% (0.41)</t>
        </is>
      </c>
      <c r="F8" s="4" t="inlineStr">
        <is>
          <t>repayMonths is capped 1-12, default 6; includes all monthly expenses</t>
        </is>
      </c>
    </row>
    <row r="9" ht="36" customHeight="1">
      <c r="A9" s="3" t="inlineStr">
        <is>
          <t>Modified Payment Affordability DTI</t>
        </is>
      </c>
      <c r="B9" s="3" t="inlineStr">
        <is>
          <t>(modifiedPI + currentEscrow + monthlyExpenses) / grossMonthlyIncome</t>
        </is>
      </c>
      <c r="C9" s="3" t="inlineStr">
        <is>
          <t>($1,200 + $350 + $600) / $6,000 = 35.8% -&gt; PASS</t>
        </is>
      </c>
      <c r="D9" s="3" t="inlineStr">
        <is>
          <t>VA M26-4 / 38 CFR 36.4315</t>
        </is>
      </c>
      <c r="E9" s="3" t="inlineStr">
        <is>
          <t>&lt;= 41% (0.41)</t>
        </is>
      </c>
      <c r="F9" s="3" t="inlineStr">
        <is>
          <t>Used for Traditional Mod affordability check; requires monthlyExpenses populated</t>
        </is>
      </c>
    </row>
    <row r="10" ht="36" customHeight="1">
      <c r="A10" s="4" t="inlineStr">
        <is>
          <t>Current Payment Affordability DTI</t>
        </is>
      </c>
      <c r="B10" s="4" t="inlineStr">
        <is>
          <t>(currentPITI + monthlyExpenses) / grossMonthlyIncome</t>
        </is>
      </c>
      <c r="C10" s="4" t="inlineStr">
        <is>
          <t>($1,500 + $800) / $6,000 = 38.3% -&gt; PASS (use Traditional Mod, not 30-Yr)</t>
        </is>
      </c>
      <c r="D10" s="4" t="inlineStr">
        <is>
          <t>VA M26-4</t>
        </is>
      </c>
      <c r="E10" s="4" t="inlineStr">
        <is>
          <t>If &gt; 41%: eligible for 30-Yr Mod; If &lt;= 41%: use Traditional Mod</t>
        </is>
      </c>
      <c r="F10" s="4" t="inlineStr">
        <is>
          <t>30-Yr Mod requires borrower CANNOT afford current (DTI &gt; 41%); if they can, use Traditional Mod</t>
        </is>
      </c>
    </row>
    <row r="11" ht="36" customHeight="1">
      <c r="A11" s="3" t="inlineStr">
        <is>
          <t>Loan Age / Modification Seasoning</t>
        </is>
      </c>
      <c r="B11" s="3" t="inlineStr">
        <is>
          <t>monthsBetween(noteDate OR firstPaymentDate, approvalEffectiveDate OR today)</t>
        </is>
      </c>
      <c r="C11" s="3" t="inlineStr">
        <is>
          <t>Note: Jan 2024; Today: Mar 2026 = 26 months -&gt; PASS (&gt;= 12)</t>
        </is>
      </c>
      <c r="D11" s="3" t="inlineStr">
        <is>
          <t>38 CFR 36.4315(a)(3)</t>
        </is>
      </c>
      <c r="E11" s="3" t="inlineStr">
        <is>
          <t>First mod: &gt;= 12 months since origination; Subsequent mods: &gt;= 12 months since last mod date</t>
        </is>
      </c>
      <c r="F11" s="3" t="inlineStr">
        <is>
          <t>Auto-computes from noteDate or vaLastModDate; defaults TRUE if dates not entered</t>
        </is>
      </c>
    </row>
    <row r="12" ht="36" customHeight="1">
      <c r="A12" s="4" t="inlineStr">
        <is>
          <t>Prior Mod Lifetime Limit</t>
        </is>
      </c>
      <c r="B12" s="4" t="inlineStr">
        <is>
          <t>parseInt(vaPriorModCount)</t>
        </is>
      </c>
      <c r="C12" s="4" t="inlineStr">
        <is>
          <t>vaPriorModCount = '2' -&gt; 2 &lt; 3 -&gt; PASS</t>
        </is>
      </c>
      <c r="D12" s="4" t="inlineStr">
        <is>
          <t>38 CFR 36.4315(a)(10)</t>
        </is>
      </c>
      <c r="E12" s="4" t="inlineStr">
        <is>
          <t>&lt; 3 prior modifications (max 3 lifetime)</t>
        </is>
      </c>
      <c r="F12" s="4" t="inlineStr">
        <is>
          <t>If at 3 mods, all modification options exhausted regardless of affordability</t>
        </is>
      </c>
    </row>
    <row r="13" ht="36" customHeight="1">
      <c r="A13" s="3" t="inlineStr">
        <is>
          <t>PMMS Rate Rounding</t>
        </is>
      </c>
      <c r="B13" s="3" t="inlineStr">
        <is>
          <t>Math.round(pmmsRate / 0.125) * 0.125</t>
        </is>
      </c>
      <c r="C13" s="3" t="inlineStr">
        <is>
          <t>PMMS=7.18% -&gt; round(7.18/0.125)*0.125 = round(57.44)*0.125 = 57*0.125 = 7.125%</t>
        </is>
      </c>
      <c r="D13" s="3" t="inlineStr">
        <is>
          <t>38 CFR 36.4315(a)(8)(i)</t>
        </is>
      </c>
      <c r="E13" s="3" t="inlineStr">
        <is>
          <t>Rate rounded to nearest 0.125%</t>
        </is>
      </c>
      <c r="F13" s="3" t="inlineStr">
        <is>
          <t>Standard rate rounding for all VA modifications</t>
        </is>
      </c>
    </row>
    <row r="14" ht="36" customHeight="1">
      <c r="A14" s="4" t="inlineStr">
        <is>
          <t>Repayment Months (RPP)</t>
        </is>
      </c>
      <c r="B14" s="4" t="inlineStr">
        <is>
          <t>min(12, max(1, repayMonths || 6))</t>
        </is>
      </c>
      <c r="C14" s="4" t="inlineStr">
        <is>
          <t>Default = 6 months; max allowed = 12 months; min = 1 month</t>
        </is>
      </c>
      <c r="D14" s="4" t="inlineStr">
        <is>
          <t>VA M26-4 / 38 CFR 36.4301</t>
        </is>
      </c>
      <c r="E14" s="4" t="inlineStr">
        <is>
          <t>Used in RPP DTI calculation (arrears / repayMo)</t>
        </is>
      </c>
      <c r="F14" s="4" t="inlineStr">
        <is>
          <t>Capped at 12 months maximum for RPP spread; default 6 months</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pane ySplit="2" topLeftCell="A3" activePane="bottomLeft" state="frozen"/>
      <selection pane="bottomLeft" activeCell="A1" sqref="A1"/>
    </sheetView>
  </sheetViews>
  <sheetFormatPr baseColWidth="8" defaultRowHeight="15"/>
  <cols>
    <col width="6" customWidth="1" min="1" max="1"/>
    <col width="30" customWidth="1" min="2" max="2"/>
    <col width="28" customWidth="1" min="3" max="3"/>
    <col width="32" customWidth="1" min="4" max="4"/>
    <col width="34" customWidth="1" min="5" max="5"/>
  </cols>
  <sheetData>
    <row r="1" ht="22" customHeight="1">
      <c r="A1" s="1" t="inlineStr">
        <is>
          <t>VA Loss Mitigation - Evaluation Order (38 CFR 36.4319 / Circular 26-25-2 eff. May 1 2025)</t>
        </is>
      </c>
    </row>
    <row r="2" ht="20" customHeight="1">
      <c r="A2" s="2" t="inlineStr">
        <is>
          <t>#</t>
        </is>
      </c>
      <c r="B2" s="2" t="inlineStr">
        <is>
          <t>Option</t>
        </is>
      </c>
      <c r="C2" s="2" t="inlineStr">
        <is>
          <t>Trigger Condition</t>
        </is>
      </c>
      <c r="D2" s="2" t="inlineStr">
        <is>
          <t>Proceed If (PASS)</t>
        </is>
      </c>
      <c r="E2" s="2" t="inlineStr">
        <is>
          <t>Skip to Next If (FAIL)</t>
        </is>
      </c>
    </row>
    <row r="3" ht="36" customHeight="1">
      <c r="A3" s="8" t="inlineStr">
        <is>
          <t>IMPORTANT (Circular 26-25-2, May 1 2025): The VA Home Retention Waterfall (Appendix F) has been RESCINDED. Servicers must now offer the BEST option for the borrower's circumstances per 38 CFR 36.4319. The preferred order below is retained as a reference framework - servicer judgment governs.</t>
        </is>
      </c>
    </row>
    <row r="4" ht="18" customHeight="1">
      <c r="A4" s="6" t="inlineStr">
        <is>
          <t>STANDARD (NON-DISASTER) TRACK</t>
        </is>
      </c>
    </row>
    <row r="5" ht="52" customHeight="1">
      <c r="A5" s="9" t="inlineStr">
        <is>
          <t>1</t>
        </is>
      </c>
      <c r="B5" s="10" t="inlineStr">
        <is>
          <t>VA Reinstatement</t>
        </is>
      </c>
      <c r="C5" s="10" t="inlineStr">
        <is>
          <t>Any delinquency &gt;= 1d; borrower can afford full reinstatement</t>
        </is>
      </c>
      <c r="D5" s="10" t="inlineStr">
        <is>
          <t>DLQ &gt;= 1d; base eligibility; (currentPITI + arrears/repayMo + expenses) / GMI &lt;= 41%</t>
        </is>
      </c>
      <c r="E5" s="10" t="inlineStr">
        <is>
          <t>Cannot afford reinstatement (DTI &gt; 41%) -&gt; proceed to RPP or Forbearance</t>
        </is>
      </c>
    </row>
    <row r="6" ht="52" customHeight="1">
      <c r="A6" s="11" t="inlineStr">
        <is>
          <t>2</t>
        </is>
      </c>
      <c r="B6" s="12" t="inlineStr">
        <is>
          <t>VA Repayment Plan</t>
        </is>
      </c>
      <c r="C6" s="12" t="inlineStr">
        <is>
          <t>DLQ &gt;= 61d; hardship RESOLVED; standard hardship; owner-occ</t>
        </is>
      </c>
      <c r="D6" s="12" t="inlineStr">
        <is>
          <t>Standard hardship; hardship resolved; DLQ &gt;= 61d; RPP &gt; 0; can afford RPP at 41% DTI; retention intent; owner-occ</t>
        </is>
      </c>
      <c r="E6" s="12" t="inlineStr">
        <is>
          <t>Hardship not resolved -&gt; Special Forbearance; DTI &gt; 41% -&gt; Modification options</t>
        </is>
      </c>
    </row>
    <row r="7" ht="52" customHeight="1">
      <c r="A7" s="13" t="inlineStr">
        <is>
          <t>3</t>
        </is>
      </c>
      <c r="B7" s="14" t="inlineStr">
        <is>
          <t>VA Special Forbearance</t>
        </is>
      </c>
      <c r="C7" s="14" t="inlineStr">
        <is>
          <t>DLQ &gt;= 61d; hardship ACTIVE (not resolved); standard hardship; owner-occ</t>
        </is>
      </c>
      <c r="D7" s="14" t="inlineStr">
        <is>
          <t>Standard hardship; hardship NOT resolved; DLQ &gt;= 61d; forbearance/DLQ &lt; 12mo; retention intent; owner-occ</t>
        </is>
      </c>
      <c r="E7" s="14" t="inlineStr">
        <is>
          <t>Hardship resolved -&gt; Repayment Plan; DLQ &gt;= 12mo total; DLQ &lt; 61d</t>
        </is>
      </c>
    </row>
    <row r="8" ht="52" customHeight="1">
      <c r="A8" s="9" t="inlineStr">
        <is>
          <t>4</t>
        </is>
      </c>
      <c r="B8" s="10" t="inlineStr">
        <is>
          <t>VA Traditional Modification</t>
        </is>
      </c>
      <c r="C8" s="10" t="inlineStr">
        <is>
          <t>DLQ &gt;= 61d; confirmed cannot afford current; CAN afford modified; arrears &lt;= 25%; new UPB &lt;= orig</t>
        </is>
      </c>
      <c r="D8" s="10" t="inlineStr">
        <is>
          <t>Standard hardship; DLQ &gt;= 61d; confirmed cannot afford current; modified payment DTI &lt;= 41%; arrears &lt;= 25% orig UPB; new UPB &lt;= orig; seasoning OK; &lt; 3 mods</t>
        </is>
      </c>
      <c r="E8" s="10" t="inlineStr">
        <is>
          <t>Arrears &gt; 25% or UPB cap -&gt; 30-Yr Mod; cannot afford modified (DTI&gt;41%) -&gt; 30-Yr or 40-Yr Mod</t>
        </is>
      </c>
    </row>
    <row r="9" ht="52" customHeight="1">
      <c r="A9" s="11" t="inlineStr">
        <is>
          <t>5</t>
        </is>
      </c>
      <c r="B9" s="12" t="inlineStr">
        <is>
          <t>VA 30-Year Loan Modification</t>
        </is>
      </c>
      <c r="C9" s="12" t="inlineStr">
        <is>
          <t>DLQ &gt;= 61d; confirmed cannot afford current; CANNOT afford current (DTI&gt;41%); arrears &lt;= 25%; new UPB &lt;= orig</t>
        </is>
      </c>
      <c r="D9" s="12" t="inlineStr">
        <is>
          <t>Standard hardship; DLQ &gt;= 61d; confirmed cannot afford current; current payment DTI &gt; 41%; arrears &lt;= 25%; new UPB &lt;= orig; seasoning OK; &lt; 3 mods; PMMS rounded @ 360 months</t>
        </is>
      </c>
      <c r="E9" s="12" t="inlineStr">
        <is>
          <t>Arrears &gt; 25% or UPB cap -&gt; 40-Yr Mod; seasoning fails; 3+ lifetime mods</t>
        </is>
      </c>
    </row>
    <row r="10" ht="52" customHeight="1">
      <c r="A10" s="13" t="inlineStr">
        <is>
          <t>6</t>
        </is>
      </c>
      <c r="B10" s="14" t="inlineStr">
        <is>
          <t>VA 40-Year Loan Modification</t>
        </is>
      </c>
      <c r="C10" s="14" t="inlineStr">
        <is>
          <t>DLQ &gt;= 61d; confirmed cannot afford current; no arrears/UPB caps apply; most flexible option</t>
        </is>
      </c>
      <c r="D10" s="14" t="inlineStr">
        <is>
          <t>Standard hardship; DLQ &gt;= 61d; confirmed cannot afford current; owner-occ; retention intent; seasoning OK; &lt; 3 mods; PMMS rounded @ 480 months. No 25% arrears cap, no UPB cap, no modified payment DTI check.</t>
        </is>
      </c>
      <c r="E10" s="14" t="inlineStr">
        <is>
          <t>Seasoning fails; 3+ lifetime mods; all modifications exhausted -&gt; Compromise Sale/DIL</t>
        </is>
      </c>
    </row>
    <row r="11" ht="52" customHeight="1">
      <c r="A11" s="15" t="inlineStr">
        <is>
          <t>7</t>
        </is>
      </c>
      <c r="B11" s="16" t="inlineStr">
        <is>
          <t>VA Compromise Sale</t>
        </is>
      </c>
      <c r="C11" s="16" t="inlineStr">
        <is>
          <t>Long-term/permanent hardship; disposition intent; standard or disaster hardship</t>
        </is>
      </c>
      <c r="D11" s="16" t="inlineStr">
        <is>
          <t>Long-term/permanent hardship; base eligibility; disposition intent; DLQ &lt;= 60d with complete BRP OR DLQ &gt;= 60d with disposition confirmation. VA RLC approval required.</t>
        </is>
      </c>
      <c r="E11" s="16" t="inlineStr">
        <is>
          <t>Compromise Sale failed -&gt; Deed-in-Lieu</t>
        </is>
      </c>
    </row>
    <row r="12" ht="52" customHeight="1">
      <c r="A12" s="17" t="inlineStr">
        <is>
          <t>8</t>
        </is>
      </c>
      <c r="B12" s="18" t="inlineStr">
        <is>
          <t>VA Deed-in-Lieu</t>
        </is>
      </c>
      <c r="C12" s="18" t="inlineStr">
        <is>
          <t>Long-term/permanent hardship; disposition intent; prior Compromise Sale failed</t>
        </is>
      </c>
      <c r="D12" s="18" t="inlineStr">
        <is>
          <t>All Compromise Sale criteria plus prior Compromise Sale FAILED; clear title; borrower vacates</t>
        </is>
      </c>
      <c r="E12" s="18" t="inlineStr">
        <is>
          <t>Title not clear; all options exhausted</t>
        </is>
      </c>
    </row>
    <row r="13" ht="36" customHeight="1">
      <c r="A13" s="19" t="inlineStr">
        <is>
          <t>--</t>
        </is>
      </c>
      <c r="B13" s="5" t="inlineStr">
        <is>
          <t>VASP (VA Partial Claim)</t>
        </is>
      </c>
      <c r="C13" s="5" t="inlineStr">
        <is>
          <t>DISCONTINUED per Circular 26-25-2 (May 1, 2025)</t>
        </is>
      </c>
      <c r="D13" s="5" t="inlineStr">
        <is>
          <t>N/A - no new submissions accepted</t>
        </is>
      </c>
      <c r="E13" s="5" t="inlineStr">
        <is>
          <t>Use 40-Year Modification for current defaults. New partial claim authorized Jul 30, 2025 - pending implementation guidance.</t>
        </is>
      </c>
    </row>
    <row r="15" ht="18" customHeight="1">
      <c r="A15" s="7" t="inlineStr">
        <is>
          <t>DISASTER TRACK (Evaluated separately when hardshipType = Disaster)</t>
        </is>
      </c>
    </row>
    <row r="16" ht="52" customHeight="1">
      <c r="A16" s="20" t="inlineStr">
        <is>
          <t>D1</t>
        </is>
      </c>
      <c r="B16" s="21" t="inlineStr">
        <is>
          <t>VA Disaster Forbearance</t>
        </is>
      </c>
      <c r="C16" s="21" t="inlineStr">
        <is>
          <t>Disaster hardship declared; property in PDMA; &lt;= 30d DLQ at declaration</t>
        </is>
      </c>
      <c r="D16" s="21" t="inlineStr">
        <is>
          <t>Base eligibility; property in PDMA; DLQ &lt;= 30d at declaration; forbearance/DLQ &lt; 12 months</t>
        </is>
      </c>
      <c r="E16" s="21" t="inlineStr">
        <is>
          <t>Property not in PDMA; &gt; 30d DLQ at declaration</t>
        </is>
      </c>
    </row>
    <row r="17" ht="52" customHeight="1">
      <c r="A17" s="20" t="inlineStr">
        <is>
          <t>D2</t>
        </is>
      </c>
      <c r="B17" s="21" t="inlineStr">
        <is>
          <t>VA Disaster Modification</t>
        </is>
      </c>
      <c r="C17" s="21" t="inlineStr">
        <is>
          <t>Post-forbearance; &gt;= 60d DLQ; hardship resolved; PMMS &lt;= current+1%</t>
        </is>
      </c>
      <c r="D17" s="21" t="inlineStr">
        <is>
          <t>No active RPP; PMMS &lt;= current+1%; DLQ &lt;= 30d at declaration; loan &gt;= 60d DLQ; prior workout = forbearance; workout state = active/passed</t>
        </is>
      </c>
      <c r="E17" s="21" t="inlineStr">
        <is>
          <t>PMMS &gt; current+1%; no prior forbearance; &lt; 60d DLQ</t>
        </is>
      </c>
    </row>
    <row r="18" ht="52" customHeight="1">
      <c r="A18" s="20" t="inlineStr">
        <is>
          <t>D3</t>
        </is>
      </c>
      <c r="B18" s="21" t="inlineStr">
        <is>
          <t>VA Disaster Extend Modification</t>
        </is>
      </c>
      <c r="C18" s="21" t="inlineStr">
        <is>
          <t>Hardship ongoing (not resolved); &gt;= 60d DLQ; prior forbearance</t>
        </is>
      </c>
      <c r="D18" s="21" t="inlineStr">
        <is>
          <t>Disaster hardship NOT resolved; DLQ &lt;= 30d at declaration; loan &gt;= 60d DLQ; prior forbearance; workout active/passed. Extends maturity date ONLY - no rate/payment change.</t>
        </is>
      </c>
      <c r="E18" s="21" t="inlineStr">
        <is>
          <t>Hardship resolved (-&gt; Disaster Mod); no prior forbearance</t>
        </is>
      </c>
    </row>
    <row r="20" ht="18" customHeight="1">
      <c r="A20" s="22" t="inlineStr">
        <is>
          <t>KEY VA THRESHOLDS &amp; CONSTANTS</t>
        </is>
      </c>
    </row>
    <row r="21" ht="20" customHeight="1">
      <c r="A21" s="2" t="inlineStr">
        <is>
          <t>Threshold</t>
        </is>
      </c>
      <c r="B21" s="2" t="inlineStr">
        <is>
          <t>Value</t>
        </is>
      </c>
      <c r="C21" s="2" t="inlineStr">
        <is>
          <t>Applied To</t>
        </is>
      </c>
      <c r="D21" s="2" t="inlineStr">
        <is>
          <t>Regulatory Basis</t>
        </is>
      </c>
      <c r="E21" s="2" t="inlineStr">
        <is>
          <t>Notes</t>
        </is>
      </c>
    </row>
    <row r="22" ht="30" customHeight="1">
      <c r="A22" s="3" t="inlineStr">
        <is>
          <t>DTI Cap</t>
        </is>
      </c>
      <c r="B22" s="3" t="inlineStr">
        <is>
          <t>41% (0.41)</t>
        </is>
      </c>
      <c r="C22" s="3" t="inlineStr">
        <is>
          <t>All affordability checks (reinstatement, RPP, mod)</t>
        </is>
      </c>
      <c r="D22" s="3" t="inlineStr">
        <is>
          <t>VA M26-4 / 38 CFR 36.4301</t>
        </is>
      </c>
      <c r="E22" s="3" t="inlineStr">
        <is>
          <t>Total front-end + back-end DTI threshold</t>
        </is>
      </c>
    </row>
    <row r="23" ht="30" customHeight="1">
      <c r="A23" s="4" t="inlineStr">
        <is>
          <t>DLQ Minimum for Formal Options</t>
        </is>
      </c>
      <c r="B23" s="4" t="inlineStr">
        <is>
          <t>61 days</t>
        </is>
      </c>
      <c r="C23" s="4" t="inlineStr">
        <is>
          <t>Repayment Plan, Special Forbearance, all Modifications</t>
        </is>
      </c>
      <c r="D23" s="4" t="inlineStr">
        <is>
          <t>38 CFR 36.4301</t>
        </is>
      </c>
      <c r="E23" s="4" t="inlineStr">
        <is>
          <t>Must be &gt;= 61 days delinquent for formal home retention</t>
        </is>
      </c>
    </row>
    <row r="24" ht="30" customHeight="1">
      <c r="A24" s="3" t="inlineStr">
        <is>
          <t>Arrearages Cap (Traditional &amp; 30-Yr)</t>
        </is>
      </c>
      <c r="B24" s="3" t="inlineStr">
        <is>
          <t>&lt;= 25% of original UPB</t>
        </is>
      </c>
      <c r="C24" s="3" t="inlineStr">
        <is>
          <t>Traditional Modification, 30-Year Modification</t>
        </is>
      </c>
      <c r="D24" s="3" t="inlineStr">
        <is>
          <t>VA M26-4</t>
        </is>
      </c>
      <c r="E24" s="3" t="inlineStr">
        <is>
          <t>40-Year Modification has NO arrears cap</t>
        </is>
      </c>
    </row>
    <row r="25" ht="30" customHeight="1">
      <c r="A25" s="4" t="inlineStr">
        <is>
          <t>UPB Cap (Traditional &amp; 30-Yr)</t>
        </is>
      </c>
      <c r="B25" s="4" t="inlineStr">
        <is>
          <t>&lt;= Original UPB</t>
        </is>
      </c>
      <c r="C25" s="4" t="inlineStr">
        <is>
          <t>Traditional Modification, 30-Year Modification</t>
        </is>
      </c>
      <c r="D25" s="4" t="inlineStr">
        <is>
          <t>VA M26-4</t>
        </is>
      </c>
      <c r="E25" s="4" t="inlineStr">
        <is>
          <t>40-Year Modification has NO UPB cap</t>
        </is>
      </c>
    </row>
    <row r="26" ht="30" customHeight="1">
      <c r="A26" s="3" t="inlineStr">
        <is>
          <t>PMMS Rate Cap</t>
        </is>
      </c>
      <c r="B26" s="3" t="inlineStr">
        <is>
          <t>&lt;= current note rate + 1%</t>
        </is>
      </c>
      <c r="C26" s="3" t="inlineStr">
        <is>
          <t>All VA Modifications (30-Yr, 40-Yr, Disaster Mod)</t>
        </is>
      </c>
      <c r="D26" s="3" t="inlineStr">
        <is>
          <t>38 CFR 36.4315(a)(8)(i)</t>
        </is>
      </c>
      <c r="E26" s="3" t="inlineStr">
        <is>
          <t>Modification rate can never exceed current rate + 1%</t>
        </is>
      </c>
    </row>
    <row r="27" ht="30" customHeight="1">
      <c r="A27" s="4" t="inlineStr">
        <is>
          <t>Rate Rounding</t>
        </is>
      </c>
      <c r="B27" s="4" t="inlineStr">
        <is>
          <t>Nearest 0.125%</t>
        </is>
      </c>
      <c r="C27" s="4" t="inlineStr">
        <is>
          <t>All VA Modifications</t>
        </is>
      </c>
      <c r="D27" s="4" t="inlineStr">
        <is>
          <t>38 CFR 36.4315(a)(8)(i)</t>
        </is>
      </c>
      <c r="E27" s="4" t="inlineStr">
        <is>
          <t>Round(PMMS / 0.125) * 0.125</t>
        </is>
      </c>
    </row>
    <row r="28" ht="30" customHeight="1">
      <c r="A28" s="3" t="inlineStr">
        <is>
          <t>Modification Seasoning (First Mod)</t>
        </is>
      </c>
      <c r="B28" s="3" t="inlineStr">
        <is>
          <t>&gt;= 12 months since origination</t>
        </is>
      </c>
      <c r="C28" s="3" t="inlineStr">
        <is>
          <t>All Modifications (first mod)</t>
        </is>
      </c>
      <c r="D28" s="3" t="inlineStr">
        <is>
          <t>38 CFR 36.4315(a)(3)</t>
        </is>
      </c>
      <c r="E28" s="3" t="inlineStr">
        <is>
          <t>Calculated from note date or first payment date</t>
        </is>
      </c>
    </row>
    <row r="29" ht="30" customHeight="1">
      <c r="A29" s="4" t="inlineStr">
        <is>
          <t>Modification Seasoning (Subsequent)</t>
        </is>
      </c>
      <c r="B29" s="4" t="inlineStr">
        <is>
          <t>&gt;= 12 months since last mod</t>
        </is>
      </c>
      <c r="C29" s="4" t="inlineStr">
        <is>
          <t>All Modifications (2nd, 3rd)</t>
        </is>
      </c>
      <c r="D29" s="4" t="inlineStr">
        <is>
          <t>38 CFR 36.4315(a)(3)</t>
        </is>
      </c>
      <c r="E29" s="4" t="inlineStr">
        <is>
          <t>Calculated from vaLastModDate</t>
        </is>
      </c>
    </row>
    <row r="30" ht="30" customHeight="1">
      <c r="A30" s="3" t="inlineStr">
        <is>
          <t>Lifetime Modification Limit</t>
        </is>
      </c>
      <c r="B30" s="3" t="inlineStr">
        <is>
          <t>&lt; 3 (max 3 total)</t>
        </is>
      </c>
      <c r="C30" s="3" t="inlineStr">
        <is>
          <t>All Modifications</t>
        </is>
      </c>
      <c r="D30" s="3" t="inlineStr">
        <is>
          <t>38 CFR 36.4315(a)(10)</t>
        </is>
      </c>
      <c r="E30" s="3" t="inlineStr">
        <is>
          <t>Once 3 mods used, no further modifications available</t>
        </is>
      </c>
    </row>
    <row r="31" ht="30" customHeight="1">
      <c r="A31" s="4" t="inlineStr">
        <is>
          <t>Repayment Plan Spread</t>
        </is>
      </c>
      <c r="B31" s="4" t="inlineStr">
        <is>
          <t>1-12 months (default 6)</t>
        </is>
      </c>
      <c r="C31" s="4" t="inlineStr">
        <is>
          <t>RPP and Reinstatement DTI calc</t>
        </is>
      </c>
      <c r="D31" s="4" t="inlineStr">
        <is>
          <t>VA M26-4</t>
        </is>
      </c>
      <c r="E31" s="4" t="inlineStr">
        <is>
          <t>Arrears spread over repayMonths for DTI test</t>
        </is>
      </c>
    </row>
    <row r="32" ht="30" customHeight="1">
      <c r="A32" s="3" t="inlineStr">
        <is>
          <t>DLQ at Disaster</t>
        </is>
      </c>
      <c r="B32" s="3" t="inlineStr">
        <is>
          <t>&lt; 30 days at declaration</t>
        </is>
      </c>
      <c r="C32" s="3" t="inlineStr">
        <is>
          <t>All VA Disaster programs</t>
        </is>
      </c>
      <c r="D32" s="3" t="inlineStr">
        <is>
          <t>VA M26-4 Ch. 8</t>
        </is>
      </c>
      <c r="E32" s="3" t="inlineStr">
        <is>
          <t>Must have been current or &lt; 30d DLQ when disaster was declared</t>
        </is>
      </c>
    </row>
    <row r="33" ht="30" customHeight="1">
      <c r="A33" s="4" t="inlineStr">
        <is>
          <t>40-Year Term</t>
        </is>
      </c>
      <c r="B33" s="4" t="inlineStr">
        <is>
          <t>480 months</t>
        </is>
      </c>
      <c r="C33" s="4" t="inlineStr">
        <is>
          <t>VA 40-Year Loan Modification</t>
        </is>
      </c>
      <c r="D33" s="4" t="inlineStr">
        <is>
          <t>38 CFR 36.4315(a)(8)(i)</t>
        </is>
      </c>
      <c r="E33" s="4" t="inlineStr">
        <is>
          <t>Extended amortization; no arrears cap; no UPB cap; no P&amp;I reduction requirement</t>
        </is>
      </c>
    </row>
    <row r="34" ht="30" customHeight="1">
      <c r="A34" s="3" t="inlineStr">
        <is>
          <t>30-Year Term</t>
        </is>
      </c>
      <c r="B34" s="3" t="inlineStr">
        <is>
          <t>360 months</t>
        </is>
      </c>
      <c r="C34" s="3" t="inlineStr">
        <is>
          <t>VA 30-Year Loan Modification</t>
        </is>
      </c>
      <c r="D34" s="3" t="inlineStr">
        <is>
          <t>38 CFR 36.4315(a)(8)(i)</t>
        </is>
      </c>
      <c r="E34" s="3" t="inlineStr">
        <is>
          <t>Standard re-amortization with 25% arrears cap and UPB cap</t>
        </is>
      </c>
    </row>
  </sheetData>
  <mergeCells count="5">
    <mergeCell ref="A4:E4"/>
    <mergeCell ref="A20:E20"/>
    <mergeCell ref="A15:E15"/>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2026-03-30T15:47:39Z</dcterms:created>
  <dcterms:modified xsi:type="dcterms:W3CDTF">2026-03-30T15:47:40Z</dcterms:modified>
</cp:coreProperties>
</file>