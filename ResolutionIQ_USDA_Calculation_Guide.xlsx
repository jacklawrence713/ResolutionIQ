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DA Overview" sheetId="1" state="visible" r:id="rId1"/>
    <sheet name="USDA Criteria Detail" sheetId="2" state="visible" r:id="rId2"/>
    <sheet name="USDA Rate &amp; Payment Calcs" sheetId="3" state="visible" r:id="rId3"/>
    <sheet name="USDA Waterfall"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b val="1"/>
      <color rgb="001E3A5F"/>
      <sz val="9"/>
    </font>
    <font>
      <name val="Calibri"/>
      <color rgb="00111827"/>
      <sz val="9"/>
    </font>
    <font>
      <name val="Calibri"/>
      <b val="1"/>
      <color rgb="00FFFFFF"/>
      <sz val="10"/>
    </font>
    <font>
      <name val="Calibri"/>
      <b val="1"/>
      <color rgb="00111827"/>
      <sz val="9"/>
    </font>
    <font>
      <name val="Calibri"/>
      <i val="1"/>
      <color rgb="00713F12"/>
      <sz val="9"/>
    </font>
  </fonts>
  <fills count="12">
    <fill>
      <patternFill/>
    </fill>
    <fill>
      <patternFill patternType="gray125"/>
    </fill>
    <fill>
      <patternFill patternType="solid">
        <fgColor rgb="0014532D"/>
      </patternFill>
    </fill>
    <fill>
      <patternFill patternType="solid">
        <fgColor rgb="00DBEAFE"/>
      </patternFill>
    </fill>
    <fill>
      <patternFill patternType="solid">
        <fgColor rgb="00FFFFFF"/>
      </patternFill>
    </fill>
    <fill>
      <patternFill patternType="solid">
        <fgColor rgb="00F8FAFC"/>
      </patternFill>
    </fill>
    <fill>
      <patternFill patternType="solid">
        <fgColor rgb="002D5FA6"/>
      </patternFill>
    </fill>
    <fill>
      <patternFill patternType="solid">
        <fgColor rgb="00ECFDF5"/>
      </patternFill>
    </fill>
    <fill>
      <patternFill patternType="solid">
        <fgColor rgb="00EFF6FF"/>
      </patternFill>
    </fill>
    <fill>
      <patternFill patternType="solid">
        <fgColor rgb="00F0FDF4"/>
      </patternFill>
    </fill>
    <fill>
      <patternFill patternType="solid">
        <fgColor rgb="00FEFCE8"/>
      </patternFill>
    </fill>
    <fill>
      <patternFill patternType="solid">
        <fgColor rgb="00FEF2F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4" fillId="6" borderId="0" applyAlignment="1" pivotButton="0" quotePrefix="0" xfId="0">
      <alignment horizontal="left" vertical="center" indent="1"/>
    </xf>
    <xf numFmtId="0" fontId="5"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3" fillId="8" borderId="1" applyAlignment="1" pivotButton="0" quotePrefix="0" xfId="0">
      <alignment horizontal="left" vertical="center" wrapText="1"/>
    </xf>
    <xf numFmtId="0" fontId="5" fillId="9" borderId="1" applyAlignment="1" pivotButton="0" quotePrefix="0" xfId="0">
      <alignment horizontal="center" vertical="center" wrapText="1"/>
    </xf>
    <xf numFmtId="0" fontId="3" fillId="9" borderId="1" applyAlignment="1" pivotButton="0" quotePrefix="0" xfId="0">
      <alignment horizontal="left" vertical="center" wrapText="1"/>
    </xf>
    <xf numFmtId="0" fontId="5" fillId="10" borderId="1" applyAlignment="1" pivotButton="0" quotePrefix="0" xfId="0">
      <alignment horizontal="center" vertical="center" wrapText="1"/>
    </xf>
    <xf numFmtId="0" fontId="3" fillId="10" borderId="1" applyAlignment="1" pivotButton="0" quotePrefix="0" xfId="0">
      <alignment horizontal="left" vertical="center" wrapText="1"/>
    </xf>
    <xf numFmtId="0" fontId="5" fillId="11" borderId="1" applyAlignment="1" pivotButton="0" quotePrefix="0" xfId="0">
      <alignment horizontal="center" vertical="center" wrapText="1"/>
    </xf>
    <xf numFmtId="0" fontId="3" fillId="11" borderId="1" applyAlignment="1" pivotButton="0" quotePrefix="0" xfId="0">
      <alignment horizontal="left" vertical="center" wrapText="1"/>
    </xf>
    <xf numFmtId="0" fontId="6" fillId="1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2" topLeftCell="A3" activePane="bottomLeft" state="frozen"/>
      <selection pane="bottomLeft" activeCell="A1" sqref="A1"/>
    </sheetView>
  </sheetViews>
  <sheetFormatPr baseColWidth="8" defaultRowHeight="15"/>
  <cols>
    <col width="28" customWidth="1" min="1" max="1"/>
    <col width="18" customWidth="1" min="2" max="2"/>
    <col width="24" customWidth="1" min="3" max="3"/>
    <col width="36" customWidth="1" min="4" max="4"/>
    <col width="34" customWidth="1" min="5" max="5"/>
    <col width="30" customWidth="1" min="6" max="6"/>
  </cols>
  <sheetData>
    <row r="1" ht="22" customHeight="1">
      <c r="A1" s="1" t="inlineStr">
        <is>
          <t>ResolutionIQ - USDA Loss Mitigation Programs: Calculation Overview</t>
        </is>
      </c>
    </row>
    <row r="2" ht="20" customHeight="1">
      <c r="A2" s="2" t="inlineStr">
        <is>
          <t>Program</t>
        </is>
      </c>
      <c r="B2" s="2" t="inlineStr">
        <is>
          <t>Category</t>
        </is>
      </c>
      <c r="C2" s="2" t="inlineStr">
        <is>
          <t>Quick Gate</t>
        </is>
      </c>
      <c r="D2" s="2" t="inlineStr">
        <is>
          <t>Key Eligibility Conditions</t>
        </is>
      </c>
      <c r="E2" s="2" t="inlineStr">
        <is>
          <t>Key Disqualifiers</t>
        </is>
      </c>
      <c r="F2" s="2" t="inlineStr">
        <is>
          <t>Regulatory Basis</t>
        </is>
      </c>
    </row>
    <row r="3" ht="52" customHeight="1">
      <c r="A3" s="3" t="inlineStr">
        <is>
          <t>USDA Reinstatement</t>
        </is>
      </c>
      <c r="B3" s="3" t="inlineStr">
        <is>
          <t>Pre-Default</t>
        </is>
      </c>
      <c r="C3" s="3" t="inlineStr">
        <is>
          <t>DLQ &gt; 0</t>
        </is>
      </c>
      <c r="D3" s="3" t="inlineStr">
        <is>
          <t>Any delinquency; borrower pays all past-due amounts to restore current status</t>
        </is>
      </c>
      <c r="E3" s="3" t="inlineStr">
        <is>
          <t>Current loan (DLQ = 0)</t>
        </is>
      </c>
      <c r="F3" s="3" t="inlineStr">
        <is>
          <t>HB-1-3555 Sec 18.3</t>
        </is>
      </c>
    </row>
    <row r="4" ht="52" customHeight="1">
      <c r="A4" s="4" t="inlineStr">
        <is>
          <t>USDA Informal Forbearance</t>
        </is>
      </c>
      <c r="B4" s="4" t="inlineStr">
        <is>
          <t>Early Default</t>
        </is>
      </c>
      <c r="C4" s="4" t="inlineStr">
        <is>
          <t>Non-disaster; DLQ &lt; 90d; owner-occ; retention intent</t>
        </is>
      </c>
      <c r="D4" s="4" t="inlineStr">
        <is>
          <t>Non-disaster hardship; DLQ 0-89 days; owner-occupied; not excluded hardship type; lien=first; not condemned/abandoned; forbearance or DLQ &lt; 12 mo</t>
        </is>
      </c>
      <c r="E4" s="4" t="inlineStr">
        <is>
          <t>Disaster hardship; DLQ &gt;= 90d; non-owner-occ; disposition intent; excluded hardship type</t>
        </is>
      </c>
      <c r="F4" s="4" t="inlineStr">
        <is>
          <t>HB-1-3555 Sec 18.5</t>
        </is>
      </c>
    </row>
    <row r="5" ht="52" customHeight="1">
      <c r="A5" s="3" t="inlineStr">
        <is>
          <t>USDA Informal Repayment Plan</t>
        </is>
      </c>
      <c r="B5" s="3" t="inlineStr">
        <is>
          <t>Early Default</t>
        </is>
      </c>
      <c r="C5" s="3" t="inlineStr">
        <is>
          <t>Resolved hardship; DLQ 1-359d; RPP pmt &lt;= 200% PITI; positive net income</t>
        </is>
      </c>
      <c r="D5" s="3" t="inlineStr">
        <is>
          <t>Non-disaster; DLQ 1-359d; hardship resolved; owner-occ; not excluded hardship; RPP pmt &lt;= 200% current PITI; positive net income (GMI - PITI - expenses &gt; 0)</t>
        </is>
      </c>
      <c r="E5" s="3" t="inlineStr">
        <is>
          <t>Disaster; DLQ &gt;= 360d; unresolved hardship; net income &lt;= 0; RPP exceeds 200% PITI</t>
        </is>
      </c>
      <c r="F5" s="3" t="inlineStr">
        <is>
          <t>HB-1-3555 Sec 18.4</t>
        </is>
      </c>
    </row>
    <row r="6" ht="52" customHeight="1">
      <c r="A6" s="4" t="inlineStr">
        <is>
          <t>USDA Disaster Forbearance</t>
        </is>
      </c>
      <c r="B6" s="4" t="inlineStr">
        <is>
          <t>Disaster Relief</t>
        </is>
      </c>
      <c r="C6" s="4" t="inlineStr">
        <is>
          <t>verifiedDisaster; owner-occ; DLQ &lt;= 30d at declaration</t>
        </is>
      </c>
      <c r="D6" s="4" t="inlineStr">
        <is>
          <t>Disaster hardship; base eligibility (lien, condemned, abandoned); owner-occupied; was current or &lt;= 30d DLQ at disaster declaration</t>
        </is>
      </c>
      <c r="E6" s="4" t="inlineStr">
        <is>
          <t>Non-disaster hardship; not owner-occ; &gt; 30d DLQ at declaration; condemned/abandoned/second lien</t>
        </is>
      </c>
      <c r="F6" s="4" t="inlineStr">
        <is>
          <t>HB-1-3555 Sec 18.5</t>
        </is>
      </c>
    </row>
    <row r="7" ht="52" customHeight="1">
      <c r="A7" s="3" t="inlineStr">
        <is>
          <t>USDA Special Forbearance</t>
        </is>
      </c>
      <c r="B7" s="3" t="inlineStr">
        <is>
          <t>Forbearance</t>
        </is>
      </c>
      <c r="C7" s="3" t="inlineStr">
        <is>
          <t>Non-disaster; DLQ 30d-12mo; owner-occ</t>
        </is>
      </c>
      <c r="D7" s="3" t="inlineStr">
        <is>
          <t>Non-disaster hardship; base eligibility; owner-occupied; DLQ &gt;= 30d AND &lt;= 12 months</t>
        </is>
      </c>
      <c r="E7" s="3" t="inlineStr">
        <is>
          <t>Disaster hardship; DLQ &lt; 30d or &gt; 12mo; non-owner-occ</t>
        </is>
      </c>
      <c r="F7" s="3" t="inlineStr">
        <is>
          <t>HB-1-3555 Sec 18.5</t>
        </is>
      </c>
    </row>
    <row r="8" ht="52" customHeight="1">
      <c r="A8" s="4" t="inlineStr">
        <is>
          <t>USDA Streamline Loan Modification</t>
        </is>
      </c>
      <c r="B8" s="4" t="inlineStr">
        <is>
          <t>Loan Modification</t>
        </is>
      </c>
      <c r="C8" s="4" t="inlineStr">
        <is>
          <t>Non-disaster; DLQ &gt;= 90d; UPB &gt;= $5k; &lt; 2 prior mods; post-mod DTI &lt;= 55%</t>
        </is>
      </c>
      <c r="D8" s="4" t="inlineStr">
        <is>
          <t>Non-disaster; DLQ &gt;= 90d; UPB &gt;= $5k; no active bankruptcy/litigation; no prior failed Streamline TPP; &lt; 2 prior mods; foreclosure sale &gt;= 60d away; not listed for sale; post-mod total DTI &lt;= 55%; rate = lesser of current or PMMS+50bps; 480-month term</t>
        </is>
      </c>
      <c r="E8" s="4" t="inlineStr">
        <is>
          <t>Disaster; DLQ &lt; 90d; UPB &lt; $5k; 2+ prior mods; active bankruptcy or litigation; failed Streamline TPP; listed for sale; DTI &gt; 55%</t>
        </is>
      </c>
      <c r="F8" s="4" t="inlineStr">
        <is>
          <t>HB-1-3555 Sec 18.7; 7 CFR Sec 3555.304</t>
        </is>
      </c>
    </row>
    <row r="9" ht="52" customHeight="1">
      <c r="A9" s="3" t="inlineStr">
        <is>
          <t>USDA Streamline Final Offer</t>
        </is>
      </c>
      <c r="B9" s="3" t="inlineStr">
        <is>
          <t>Modification (No-Doc)</t>
        </is>
      </c>
      <c r="C9" s="3" t="inlineStr">
        <is>
          <t>Streamline base + borrower unresponsive + &gt;= 10% P&amp;I reduction</t>
        </is>
      </c>
      <c r="D9" s="3" t="inlineStr">
        <is>
          <t>All Streamline Mod base criteria PLUS: borrower unresponsive to Streamline offer; &gt;= 10% P&amp;I reduction achievable at 480 months</t>
        </is>
      </c>
      <c r="E9" s="3" t="inlineStr">
        <is>
          <t>Borrower responsive; &lt; 10% P&amp;I reduction achievable</t>
        </is>
      </c>
      <c r="F9" s="3" t="inlineStr">
        <is>
          <t>7 CFR Sec 3555.304(b)(2)</t>
        </is>
      </c>
    </row>
    <row r="10" ht="52" customHeight="1">
      <c r="A10" s="4" t="inlineStr">
        <is>
          <t>USDA Mod + MRA Servicing Plan</t>
        </is>
      </c>
      <c r="B10" s="4" t="inlineStr">
        <is>
          <t>Mod + Deferral</t>
        </is>
      </c>
      <c r="C10" s="4" t="inlineStr">
        <is>
          <t>Streamline base + Step 3 deferral required</t>
        </is>
      </c>
      <c r="D10" s="4" t="inlineStr">
        <is>
          <t>All Streamline Mod base criteria PLUS: 480-month re-amortization alone cannot achieve PITI target; MRA principal deferral needed to close gap</t>
        </is>
      </c>
      <c r="E10" s="4" t="inlineStr">
        <is>
          <t>Streamline Mod alone achieves target; Streamline base ineligible</t>
        </is>
      </c>
      <c r="F10" s="4" t="inlineStr">
        <is>
          <t>USDA RD Final Rule (Feb 11, 2025)</t>
        </is>
      </c>
    </row>
    <row r="11" ht="52" customHeight="1">
      <c r="A11" s="3" t="inlineStr">
        <is>
          <t>USDA Standalone MRA</t>
        </is>
      </c>
      <c r="B11" s="3" t="inlineStr">
        <is>
          <t>Mortgage Recovery Advance</t>
        </is>
      </c>
      <c r="C11" s="3" t="inlineStr">
        <is>
          <t>Non-disaster; can resume payment; hardship resolved or mod ineligible; cannot cure DLQ in 12mo; DLQ &gt;= 30d</t>
        </is>
      </c>
      <c r="D11" s="3" t="inlineStr">
        <is>
          <t>Non-disaster; can resume current payment; hardship resolved OR mod ineligible; cannot cure DLQ within 12mo on their own; lien=first; not condemned/abandoned; DLQ &gt;= 30d</t>
        </is>
      </c>
      <c r="E11" s="3" t="inlineStr">
        <is>
          <t>Disaster; cannot resume payment; hardship ongoing; can cure DLQ without MRA</t>
        </is>
      </c>
      <c r="F11" s="3" t="inlineStr">
        <is>
          <t>HB-1-3555 Sec 18.6</t>
        </is>
      </c>
    </row>
    <row r="12" ht="52" customHeight="1">
      <c r="A12" s="4" t="inlineStr">
        <is>
          <t>USDA Disaster Term Extension Mod</t>
        </is>
      </c>
      <c r="B12" s="4" t="inlineStr">
        <is>
          <t>Disaster Modification</t>
        </is>
      </c>
      <c r="C12" s="4" t="inlineStr">
        <is>
          <t>Prior workout = Disaster Forbearance; disaster hardship unresolved; DLQ &gt;= 12 contractual</t>
        </is>
      </c>
      <c r="D12" s="4" t="inlineStr">
        <is>
          <t>Prior workout = Disaster Forbearance; disaster hardship; hardship NOT resolved; lien=first; not condemned/abandoned; DLQ &gt;= 12 contractual; DLQ &lt;= 30d at declaration; loan &gt;= 60d DLQ; prior workout = forbearance; workout state = active/passed</t>
        </is>
      </c>
      <c r="E12" s="4" t="inlineStr">
        <is>
          <t>Hardship resolved; prior workout not disaster forbearance; DLQ &lt; 12 contractual</t>
        </is>
      </c>
      <c r="F12" s="4" t="inlineStr">
        <is>
          <t>HB-1-3555 Sec 18.7</t>
        </is>
      </c>
    </row>
    <row r="13" ht="52" customHeight="1">
      <c r="A13" s="3" t="inlineStr">
        <is>
          <t>USDA Disaster Modification</t>
        </is>
      </c>
      <c r="B13" s="3" t="inlineStr">
        <is>
          <t>Disaster Modification</t>
        </is>
      </c>
      <c r="C13" s="3" t="inlineStr">
        <is>
          <t>Disaster hardship resolved; cannot resume payment; post-mod PITI &lt;= pre-mod PITI</t>
        </is>
      </c>
      <c r="D13" s="3" t="inlineStr">
        <is>
          <t>Disaster hardship; lien=first; DLQ &lt;= 30d at declaration; hardship resolved; not condemned/abandoned; cannot resume payment; loan &gt;= 30d DLQ; post-mod PITI &lt;= pre-mod PITI</t>
        </is>
      </c>
      <c r="E13" s="3" t="inlineStr">
        <is>
          <t>Hardship unresolved; can resume payment; post-mod PITI &gt; pre-mod PITI</t>
        </is>
      </c>
      <c r="F13" s="3" t="inlineStr">
        <is>
          <t>HB-1-3555 Sec 18.7</t>
        </is>
      </c>
    </row>
    <row r="14" ht="52" customHeight="1">
      <c r="A14" s="4" t="inlineStr">
        <is>
          <t>USDA Disaster MRA</t>
        </is>
      </c>
      <c r="B14" s="4" t="inlineStr">
        <is>
          <t>Disaster Mortgage Recovery Advance</t>
        </is>
      </c>
      <c r="C14" s="4" t="inlineStr">
        <is>
          <t>Disaster + not eligible for Disaster Extension or Mod + hardship resolved + cannot resume</t>
        </is>
      </c>
      <c r="D14" s="4" t="inlineStr">
        <is>
          <t>NOT eligible for Disaster Extension Mod; NOT eligible for Disaster Mod; disaster hardship; prior NOT MRA; reinstatement &lt; MRA cap; DLQ &lt;= 30d at declaration; hardship resolved; cannot resume payment; loan &gt;= 30d DLQ; post-mod PITI &lt;= pre-mod PITI</t>
        </is>
      </c>
      <c r="E14" s="4" t="inlineStr">
        <is>
          <t>Eligible for Disaster Extension or Mod; prior workout = MRA; reinstatement exceeds MRA cap</t>
        </is>
      </c>
      <c r="F14" s="4" t="inlineStr">
        <is>
          <t>HB-1-3555 Sec 18.6</t>
        </is>
      </c>
    </row>
    <row r="15" ht="52" customHeight="1">
      <c r="A15" s="3" t="inlineStr">
        <is>
          <t>USDA Compromise Sale</t>
        </is>
      </c>
      <c r="B15" s="3" t="inlineStr">
        <is>
          <t>Disposition</t>
        </is>
      </c>
      <c r="C15" s="3" t="inlineStr">
        <is>
          <t>Long-term/permanent hardship; disposition intent; DLQ &gt; 30d; complete BRP</t>
        </is>
      </c>
      <c r="D15" s="3" t="inlineStr">
        <is>
          <t>Long-term or permanent hardship; borrower wants to sell (disposition intent); DLQ &gt; 30d; owner-occupied; complete Borrower Response Package; lien=first; not condemned/abandoned; DLQ &lt;= 60d with BRP OR DLQ &gt;= 60d with disposition plan</t>
        </is>
      </c>
      <c r="E15" s="3" t="inlineStr">
        <is>
          <t>Temporary/resolved hardship; retention intent; DLQ &lt;= 30d; incomplete BRP</t>
        </is>
      </c>
      <c r="F15" s="3" t="inlineStr">
        <is>
          <t>HB-1-3555 Sec 18.9</t>
        </is>
      </c>
    </row>
    <row r="16" ht="52" customHeight="1">
      <c r="A16" s="4" t="inlineStr">
        <is>
          <t>USDA Deed-in-Lieu</t>
        </is>
      </c>
      <c r="B16" s="4" t="inlineStr">
        <is>
          <t>Disposition</t>
        </is>
      </c>
      <c r="C16" s="4" t="inlineStr">
        <is>
          <t>Compromise Sale criteria + prior Comp Sale failed</t>
        </is>
      </c>
      <c r="D16" s="4" t="inlineStr">
        <is>
          <t>All Compromise Sale criteria MET; prior Compromise Sale attempted and FAILED; clear title required; borrower must vacate</t>
        </is>
      </c>
      <c r="E16" s="4" t="inlineStr">
        <is>
          <t>Compromise Sale not yet attempted; title not clear</t>
        </is>
      </c>
      <c r="F16" s="4" t="inlineStr">
        <is>
          <t>HB-1-3555 Sec 18.10</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9"/>
  <sheetViews>
    <sheetView workbookViewId="0">
      <pane ySplit="2" topLeftCell="A3" activePane="bottomLeft" state="frozen"/>
      <selection pane="bottomLeft" activeCell="A1" sqref="A1"/>
    </sheetView>
  </sheetViews>
  <sheetFormatPr baseColWidth="8" defaultRowHeight="15"/>
  <cols>
    <col width="28" customWidth="1" min="1" max="1"/>
    <col width="26" customWidth="1" min="2" max="2"/>
    <col width="22" customWidth="1" min="3" max="3"/>
    <col width="20" customWidth="1" min="4" max="4"/>
    <col width="28" customWidth="1" min="5" max="5"/>
    <col width="32" customWidth="1" min="6" max="6"/>
  </cols>
  <sheetData>
    <row r="1" ht="22" customHeight="1">
      <c r="A1" s="1" t="inlineStr">
        <is>
          <t>USDA - Detailed Eligibility Criteria Per Program</t>
        </is>
      </c>
    </row>
    <row r="2" ht="20" customHeight="1">
      <c r="A2" s="2" t="inlineStr">
        <is>
          <t>Program</t>
        </is>
      </c>
      <c r="B2" s="2" t="inlineStr">
        <is>
          <t>Criterion</t>
        </is>
      </c>
      <c r="C2" s="2" t="inlineStr">
        <is>
          <t>Field / Input</t>
        </is>
      </c>
      <c r="D2" s="2" t="inlineStr">
        <is>
          <t>Threshold</t>
        </is>
      </c>
      <c r="E2" s="2" t="inlineStr">
        <is>
          <t>Pass Condition</t>
        </is>
      </c>
      <c r="F2" s="2" t="inlineStr">
        <is>
          <t>Fail / Notes</t>
        </is>
      </c>
    </row>
    <row r="3" ht="18" customHeight="1">
      <c r="A3" s="5" t="inlineStr">
        <is>
          <t>BASE ELIGIBILITY ('br') - Required for Most USDA Programs</t>
        </is>
      </c>
    </row>
    <row r="4" ht="30" customHeight="1">
      <c r="A4" s="3" t="inlineStr">
        <is>
          <t>Base (br)</t>
        </is>
      </c>
      <c r="B4" s="3" t="inlineStr">
        <is>
          <t>Property Condition</t>
        </is>
      </c>
      <c r="C4" s="3" t="inlineStr">
        <is>
          <t>propertyCondition</t>
        </is>
      </c>
      <c r="D4" s="3" t="inlineStr">
        <is>
          <t>Not Condemned AND Not Uninhabitable</t>
        </is>
      </c>
      <c r="E4" s="3" t="inlineStr">
        <is>
          <t>Property is habitable</t>
        </is>
      </c>
      <c r="F4" s="3" t="inlineStr">
        <is>
          <t>Condemned or uninhabitable</t>
        </is>
      </c>
    </row>
    <row r="5" ht="30" customHeight="1">
      <c r="A5" s="4" t="inlineStr">
        <is>
          <t>Base (br)</t>
        </is>
      </c>
      <c r="B5" s="4" t="inlineStr">
        <is>
          <t>Lien Position</t>
        </is>
      </c>
      <c r="C5" s="4" t="inlineStr">
        <is>
          <t>lienPosition</t>
        </is>
      </c>
      <c r="D5" s="4">
        <f> First</f>
        <v/>
      </c>
      <c r="E5" s="4" t="inlineStr">
        <is>
          <t>First lien position</t>
        </is>
      </c>
      <c r="F5" s="4" t="inlineStr">
        <is>
          <t>Subordinate lien</t>
        </is>
      </c>
    </row>
    <row r="6" ht="30" customHeight="1">
      <c r="A6" s="3" t="inlineStr">
        <is>
          <t>Base (br)</t>
        </is>
      </c>
      <c r="B6" s="3" t="inlineStr">
        <is>
          <t>Occupancy Abandoned</t>
        </is>
      </c>
      <c r="C6" s="3" t="inlineStr">
        <is>
          <t>occupancyAbandoned</t>
        </is>
      </c>
      <c r="D6" s="3">
        <f> FALSE</f>
        <v/>
      </c>
      <c r="E6" s="3" t="inlineStr">
        <is>
          <t>Property not abandoned</t>
        </is>
      </c>
      <c r="F6" s="3" t="inlineStr">
        <is>
          <t>Property abandoned</t>
        </is>
      </c>
    </row>
    <row r="7" ht="18" customHeight="1">
      <c r="A7" s="5" t="inlineStr">
        <is>
          <t>USDA REINSTATEMENT</t>
        </is>
      </c>
    </row>
    <row r="8" ht="30" customHeight="1">
      <c r="A8" s="4" t="inlineStr">
        <is>
          <t>USDA Reinstatement</t>
        </is>
      </c>
      <c r="B8" s="4" t="inlineStr">
        <is>
          <t>Delinquency &gt; 0 Days</t>
        </is>
      </c>
      <c r="C8" s="4" t="inlineStr">
        <is>
          <t>delinquencyDays OR delinquencyMonths*30</t>
        </is>
      </c>
      <c r="D8" s="4" t="inlineStr">
        <is>
          <t>&gt; 0 days</t>
        </is>
      </c>
      <c r="E8" s="4" t="inlineStr">
        <is>
          <t>Any past-due balance exists</t>
        </is>
      </c>
      <c r="F8" s="4" t="inlineStr">
        <is>
          <t>Loan is current (0 DLQ)</t>
        </is>
      </c>
    </row>
    <row r="9" ht="18" customHeight="1">
      <c r="A9" s="5" t="inlineStr">
        <is>
          <t>USDA INFORMAL FORBEARANCE (HB-1-3555 Sec 18.5)</t>
        </is>
      </c>
    </row>
    <row r="10" ht="30" customHeight="1">
      <c r="A10" s="3" t="inlineStr">
        <is>
          <t>Informal Forbearance</t>
        </is>
      </c>
      <c r="B10" s="3" t="inlineStr">
        <is>
          <t>Hardship Type</t>
        </is>
      </c>
      <c r="C10" s="3" t="inlineStr">
        <is>
          <t>hardshipType</t>
        </is>
      </c>
      <c r="D10" s="3" t="inlineStr">
        <is>
          <t>Not Disaster</t>
        </is>
      </c>
      <c r="E10" s="3" t="inlineStr">
        <is>
          <t>Non-disaster hardship</t>
        </is>
      </c>
      <c r="F10" s="3" t="inlineStr">
        <is>
          <t>Disaster -&gt; use Disaster Forbearance track</t>
        </is>
      </c>
    </row>
    <row r="11" ht="30" customHeight="1">
      <c r="A11" s="4" t="inlineStr">
        <is>
          <t>Informal Forbearance</t>
        </is>
      </c>
      <c r="B11" s="4" t="inlineStr">
        <is>
          <t>Early-Stage DLQ</t>
        </is>
      </c>
      <c r="C11" s="4" t="inlineStr">
        <is>
          <t>delinquencyDays</t>
        </is>
      </c>
      <c r="D11" s="4" t="inlineStr">
        <is>
          <t>0 to 89 days (&lt; 90d)</t>
        </is>
      </c>
      <c r="E11" s="4" t="inlineStr">
        <is>
          <t>1-89 days delinquent</t>
        </is>
      </c>
      <c r="F11" s="4" t="inlineStr">
        <is>
          <t>&gt;= 90 days DLQ -&gt; use Streamline Mod</t>
        </is>
      </c>
    </row>
    <row r="12" ht="30" customHeight="1">
      <c r="A12" s="3" t="inlineStr">
        <is>
          <t>Informal Forbearance</t>
        </is>
      </c>
      <c r="B12" s="3" t="inlineStr">
        <is>
          <t>Borrower Intent</t>
        </is>
      </c>
      <c r="C12" s="3" t="inlineStr">
        <is>
          <t>borrowerIntentRetention</t>
        </is>
      </c>
      <c r="D12" s="3">
        <f> TRUE</f>
        <v/>
      </c>
      <c r="E12" s="3" t="inlineStr">
        <is>
          <t>Borrower wants to retain home</t>
        </is>
      </c>
      <c r="F12" s="3" t="inlineStr">
        <is>
          <t>Disposition intent -&gt; use Compromise Sale/DIL</t>
        </is>
      </c>
    </row>
    <row r="13" ht="30" customHeight="1">
      <c r="A13" s="4" t="inlineStr">
        <is>
          <t>Informal Forbearance</t>
        </is>
      </c>
      <c r="B13" s="4" t="inlineStr">
        <is>
          <t>Hardship Type Not Excluded</t>
        </is>
      </c>
      <c r="C13" s="4" t="inlineStr">
        <is>
          <t>usdaHardshipNotExcluded</t>
        </is>
      </c>
      <c r="D13" s="4">
        <f> TRUE</f>
        <v/>
      </c>
      <c r="E13" s="4" t="inlineStr">
        <is>
          <t>Qualifying hardship type</t>
        </is>
      </c>
      <c r="F13" s="4" t="inlineStr">
        <is>
          <t>Excluded hardship type</t>
        </is>
      </c>
    </row>
    <row r="14" ht="30" customHeight="1">
      <c r="A14" s="3" t="inlineStr">
        <is>
          <t>Informal Forbearance</t>
        </is>
      </c>
      <c r="B14" s="3" t="inlineStr">
        <is>
          <t>Lien Position</t>
        </is>
      </c>
      <c r="C14" s="3" t="inlineStr">
        <is>
          <t>lienPosition</t>
        </is>
      </c>
      <c r="D14" s="3">
        <f> First</f>
        <v/>
      </c>
      <c r="E14" s="3" t="inlineStr">
        <is>
          <t>First lien</t>
        </is>
      </c>
      <c r="F14" s="3" t="inlineStr">
        <is>
          <t>Junior lien</t>
        </is>
      </c>
    </row>
    <row r="15" ht="30" customHeight="1">
      <c r="A15" s="4" t="inlineStr">
        <is>
          <t>Informal Forbearance</t>
        </is>
      </c>
      <c r="B15" s="4" t="inlineStr">
        <is>
          <t>Property Not Condemned</t>
        </is>
      </c>
      <c r="C15" s="4" t="inlineStr">
        <is>
          <t>propertyCondition</t>
        </is>
      </c>
      <c r="D15" s="4" t="inlineStr">
        <is>
          <t>Not Condemned</t>
        </is>
      </c>
      <c r="E15" s="4" t="inlineStr">
        <is>
          <t>Habitable property</t>
        </is>
      </c>
      <c r="F15" s="4" t="inlineStr">
        <is>
          <t>Condemned property</t>
        </is>
      </c>
    </row>
    <row r="16" ht="30" customHeight="1">
      <c r="A16" s="3" t="inlineStr">
        <is>
          <t>Informal Forbearance</t>
        </is>
      </c>
      <c r="B16" s="3" t="inlineStr">
        <is>
          <t>Not Abandoned</t>
        </is>
      </c>
      <c r="C16" s="3" t="inlineStr">
        <is>
          <t>occupancyAbandoned</t>
        </is>
      </c>
      <c r="D16" s="3">
        <f> FALSE</f>
        <v/>
      </c>
      <c r="E16" s="3" t="inlineStr">
        <is>
          <t>Property occupied</t>
        </is>
      </c>
      <c r="F16" s="3" t="inlineStr">
        <is>
          <t>Abandoned property</t>
        </is>
      </c>
    </row>
    <row r="17" ht="30" customHeight="1">
      <c r="A17" s="4" t="inlineStr">
        <is>
          <t>Informal Forbearance</t>
        </is>
      </c>
      <c r="B17" s="4" t="inlineStr">
        <is>
          <t>Owner Occupied</t>
        </is>
      </c>
      <c r="C17" s="4" t="inlineStr">
        <is>
          <t>occupancyStatus</t>
        </is>
      </c>
      <c r="D17" s="4">
        <f> Owner Occupied</f>
        <v/>
      </c>
      <c r="E17" s="4" t="inlineStr">
        <is>
          <t>Owner-occupied primary residence</t>
        </is>
      </c>
      <c r="F17" s="4" t="inlineStr">
        <is>
          <t>Non-owner-occupied</t>
        </is>
      </c>
    </row>
    <row r="18" ht="30" customHeight="1">
      <c r="A18" s="3" t="inlineStr">
        <is>
          <t>Informal Forbearance</t>
        </is>
      </c>
      <c r="B18" s="3" t="inlineStr">
        <is>
          <t>Forbearance &lt; 12mo OR Total DLQ &lt; 12mo</t>
        </is>
      </c>
      <c r="C18" s="3" t="inlineStr">
        <is>
          <t>usdaForbearancePeriodLt12 OR usdaTotalDLQLt12</t>
        </is>
      </c>
      <c r="D18" s="3" t="inlineStr">
        <is>
          <t>At least one = TRUE</t>
        </is>
      </c>
      <c r="E18" s="3" t="inlineStr">
        <is>
          <t>Forbearance period OR total DLQ &lt; 12 months</t>
        </is>
      </c>
      <c r="F18" s="3" t="inlineStr">
        <is>
          <t>Both exceed 12 months</t>
        </is>
      </c>
    </row>
    <row r="19" ht="18" customHeight="1">
      <c r="A19" s="5" t="inlineStr">
        <is>
          <t>USDA INFORMAL REPAYMENT PLAN (HB-1-3555 Sec 18.4)</t>
        </is>
      </c>
    </row>
    <row r="20" ht="30" customHeight="1">
      <c r="A20" s="4" t="inlineStr">
        <is>
          <t>Informal RPP</t>
        </is>
      </c>
      <c r="B20" s="4" t="inlineStr">
        <is>
          <t>Hardship Type</t>
        </is>
      </c>
      <c r="C20" s="4" t="inlineStr">
        <is>
          <t>hardshipType</t>
        </is>
      </c>
      <c r="D20" s="4" t="inlineStr">
        <is>
          <t>Not Disaster</t>
        </is>
      </c>
      <c r="E20" s="4" t="inlineStr">
        <is>
          <t>Non-disaster hardship</t>
        </is>
      </c>
      <c r="F20" s="4" t="inlineStr">
        <is>
          <t>Disaster hardship</t>
        </is>
      </c>
    </row>
    <row r="21" ht="30" customHeight="1">
      <c r="A21" s="3" t="inlineStr">
        <is>
          <t>Informal RPP</t>
        </is>
      </c>
      <c r="B21" s="3" t="inlineStr">
        <is>
          <t>Delinquency Range</t>
        </is>
      </c>
      <c r="C21" s="3" t="inlineStr">
        <is>
          <t>delinquencyDays</t>
        </is>
      </c>
      <c r="D21" s="3" t="inlineStr">
        <is>
          <t>&gt; 0 AND &lt; 360 days</t>
        </is>
      </c>
      <c r="E21" s="3" t="inlineStr">
        <is>
          <t>1-359 days DLQ</t>
        </is>
      </c>
      <c r="F21" s="3" t="inlineStr">
        <is>
          <t>0 days (current) or &gt;= 360 days</t>
        </is>
      </c>
    </row>
    <row r="22" ht="30" customHeight="1">
      <c r="A22" s="4" t="inlineStr">
        <is>
          <t>Informal RPP</t>
        </is>
      </c>
      <c r="B22" s="4" t="inlineStr">
        <is>
          <t>Borrower Intent</t>
        </is>
      </c>
      <c r="C22" s="4" t="inlineStr">
        <is>
          <t>borrowerIntentRetention</t>
        </is>
      </c>
      <c r="D22" s="4">
        <f> TRUE</f>
        <v/>
      </c>
      <c r="E22" s="4" t="inlineStr">
        <is>
          <t>Retention intent</t>
        </is>
      </c>
      <c r="F22" s="4" t="inlineStr">
        <is>
          <t>Disposition intent</t>
        </is>
      </c>
    </row>
    <row r="23" ht="30" customHeight="1">
      <c r="A23" s="3" t="inlineStr">
        <is>
          <t>Informal RPP</t>
        </is>
      </c>
      <c r="B23" s="3" t="inlineStr">
        <is>
          <t>Hardship Duration</t>
        </is>
      </c>
      <c r="C23" s="3" t="inlineStr">
        <is>
          <t>hardshipDuration</t>
        </is>
      </c>
      <c r="D23" s="3">
        <f> Resolved</f>
        <v/>
      </c>
      <c r="E23" s="3" t="inlineStr">
        <is>
          <t>Hardship has resolved</t>
        </is>
      </c>
      <c r="F23" s="3" t="inlineStr">
        <is>
          <t>Ongoing/long-term hardship</t>
        </is>
      </c>
    </row>
    <row r="24" ht="30" customHeight="1">
      <c r="A24" s="4" t="inlineStr">
        <is>
          <t>Informal RPP</t>
        </is>
      </c>
      <c r="B24" s="4" t="inlineStr">
        <is>
          <t>Hardship Not Excluded</t>
        </is>
      </c>
      <c r="C24" s="4" t="inlineStr">
        <is>
          <t>usdaHardshipNotExcluded</t>
        </is>
      </c>
      <c r="D24" s="4">
        <f> TRUE</f>
        <v/>
      </c>
      <c r="E24" s="4" t="inlineStr">
        <is>
          <t>Qualifying hardship type</t>
        </is>
      </c>
      <c r="F24" s="4" t="inlineStr">
        <is>
          <t>Excluded hardship type</t>
        </is>
      </c>
    </row>
    <row r="25" ht="30" customHeight="1">
      <c r="A25" s="3" t="inlineStr">
        <is>
          <t>Informal RPP</t>
        </is>
      </c>
      <c r="B25" s="3" t="inlineStr">
        <is>
          <t>Lien Position</t>
        </is>
      </c>
      <c r="C25" s="3" t="inlineStr">
        <is>
          <t>lienPosition</t>
        </is>
      </c>
      <c r="D25" s="3">
        <f> First</f>
        <v/>
      </c>
      <c r="E25" s="3" t="inlineStr">
        <is>
          <t>First lien</t>
        </is>
      </c>
      <c r="F25" s="3" t="inlineStr">
        <is>
          <t>Junior lien</t>
        </is>
      </c>
    </row>
    <row r="26" ht="30" customHeight="1">
      <c r="A26" s="4" t="inlineStr">
        <is>
          <t>Informal RPP</t>
        </is>
      </c>
      <c r="B26" s="4" t="inlineStr">
        <is>
          <t>Not Condemned</t>
        </is>
      </c>
      <c r="C26" s="4" t="inlineStr">
        <is>
          <t>propertyCondition</t>
        </is>
      </c>
      <c r="D26" s="4" t="inlineStr">
        <is>
          <t>Not Condemned</t>
        </is>
      </c>
      <c r="E26" s="4" t="inlineStr">
        <is>
          <t>Habitable</t>
        </is>
      </c>
      <c r="F26" s="4" t="inlineStr">
        <is>
          <t>Condemned</t>
        </is>
      </c>
    </row>
    <row r="27" ht="30" customHeight="1">
      <c r="A27" s="3" t="inlineStr">
        <is>
          <t>Informal RPP</t>
        </is>
      </c>
      <c r="B27" s="3" t="inlineStr">
        <is>
          <t>Not Abandoned</t>
        </is>
      </c>
      <c r="C27" s="3" t="inlineStr">
        <is>
          <t>occupancyAbandoned</t>
        </is>
      </c>
      <c r="D27" s="3">
        <f> FALSE</f>
        <v/>
      </c>
      <c r="E27" s="3" t="inlineStr">
        <is>
          <t>Not abandoned</t>
        </is>
      </c>
      <c r="F27" s="3" t="inlineStr">
        <is>
          <t>Abandoned</t>
        </is>
      </c>
    </row>
    <row r="28" ht="30" customHeight="1">
      <c r="A28" s="4" t="inlineStr">
        <is>
          <t>Informal RPP</t>
        </is>
      </c>
      <c r="B28" s="4" t="inlineStr">
        <is>
          <t>Owner Occupied</t>
        </is>
      </c>
      <c r="C28" s="4" t="inlineStr">
        <is>
          <t>occupancyStatus</t>
        </is>
      </c>
      <c r="D28" s="4">
        <f> Owner Occupied</f>
        <v/>
      </c>
      <c r="E28" s="4" t="inlineStr">
        <is>
          <t>Owner-occupied</t>
        </is>
      </c>
      <c r="F28" s="4" t="inlineStr">
        <is>
          <t>Non-owner-occ</t>
        </is>
      </c>
    </row>
    <row r="29" ht="30" customHeight="1">
      <c r="A29" s="3" t="inlineStr">
        <is>
          <t>Informal RPP</t>
        </is>
      </c>
      <c r="B29" s="3" t="inlineStr">
        <is>
          <t>RPP Payment &lt;= 200% Current PITI</t>
        </is>
      </c>
      <c r="C29" s="3" t="inlineStr">
        <is>
          <t>Calc: currentPITI + (arrears / repayMonths) &lt;= currentPITI * 2.0</t>
        </is>
      </c>
      <c r="D29" s="3" t="inlineStr">
        <is>
          <t>&lt;= 200% of current PITI</t>
        </is>
      </c>
      <c r="E29" s="3" t="inlineStr">
        <is>
          <t>Total RPP payment within cap</t>
        </is>
      </c>
      <c r="F29" s="3" t="inlineStr">
        <is>
          <t>Exceeds 200% PITI cap (HB-1-3555 limit)</t>
        </is>
      </c>
    </row>
    <row r="30" ht="30" customHeight="1">
      <c r="A30" s="4" t="inlineStr">
        <is>
          <t>Informal RPP</t>
        </is>
      </c>
      <c r="B30" s="4" t="inlineStr">
        <is>
          <t>Positive Net Income</t>
        </is>
      </c>
      <c r="C30" s="4" t="inlineStr">
        <is>
          <t>Calc: GMI - currentPITI - monthlyExpenses &gt; 0</t>
        </is>
      </c>
      <c r="D30" s="4" t="inlineStr">
        <is>
          <t>&gt; $0</t>
        </is>
      </c>
      <c r="E30" s="4" t="inlineStr">
        <is>
          <t>Borrower has positive net income after current PITI and expenses</t>
        </is>
      </c>
      <c r="F30" s="4" t="inlineStr">
        <is>
          <t>Net income &lt;= 0 -&gt; cannot afford repayment plan</t>
        </is>
      </c>
    </row>
    <row r="31" ht="18" customHeight="1">
      <c r="A31" s="5" t="inlineStr">
        <is>
          <t>USDA DISASTER FORBEARANCE (HB-1-3555 Sec 18.5)</t>
        </is>
      </c>
    </row>
    <row r="32" ht="30" customHeight="1">
      <c r="A32" s="3" t="inlineStr">
        <is>
          <t>Disaster Forbearance</t>
        </is>
      </c>
      <c r="B32" s="3" t="inlineStr">
        <is>
          <t>Hardship = Disaster</t>
        </is>
      </c>
      <c r="C32" s="3" t="inlineStr">
        <is>
          <t>hardshipType</t>
        </is>
      </c>
      <c r="D32" s="3">
        <f> Disaster</f>
        <v/>
      </c>
      <c r="E32" s="3" t="inlineStr">
        <is>
          <t>Presidentially-declared disaster</t>
        </is>
      </c>
      <c r="F32" s="3" t="inlineStr">
        <is>
          <t>Non-disaster hardship -&gt; use standard tracks</t>
        </is>
      </c>
    </row>
    <row r="33" ht="30" customHeight="1">
      <c r="A33" s="4" t="inlineStr">
        <is>
          <t>Disaster Forbearance</t>
        </is>
      </c>
      <c r="B33" s="4" t="inlineStr">
        <is>
          <t>Base Eligibility (br)</t>
        </is>
      </c>
      <c r="C33" s="4" t="inlineStr">
        <is>
          <t>propertyCondition, lienPosition, occupancyAbandoned</t>
        </is>
      </c>
      <c r="D33" s="4" t="inlineStr">
        <is>
          <t>All br conditions pass</t>
        </is>
      </c>
      <c r="E33" s="4" t="inlineStr">
        <is>
          <t>Not condemned, first lien, not abandoned</t>
        </is>
      </c>
      <c r="F33" s="4" t="inlineStr">
        <is>
          <t>Any br condition fails</t>
        </is>
      </c>
    </row>
    <row r="34" ht="30" customHeight="1">
      <c r="A34" s="3" t="inlineStr">
        <is>
          <t>Disaster Forbearance</t>
        </is>
      </c>
      <c r="B34" s="3" t="inlineStr">
        <is>
          <t>Owner Occupied</t>
        </is>
      </c>
      <c r="C34" s="3" t="inlineStr">
        <is>
          <t>occupancyStatus</t>
        </is>
      </c>
      <c r="D34" s="3">
        <f> Owner Occupied</f>
        <v/>
      </c>
      <c r="E34" s="3" t="inlineStr">
        <is>
          <t>Owner-occupied primary residence</t>
        </is>
      </c>
      <c r="F34" s="3" t="inlineStr">
        <is>
          <t>Non-owner-occ</t>
        </is>
      </c>
    </row>
    <row r="35" ht="30" customHeight="1">
      <c r="A35" s="4" t="inlineStr">
        <is>
          <t>Disaster Forbearance</t>
        </is>
      </c>
      <c r="B35" s="4" t="inlineStr">
        <is>
          <t>DLQ &lt;= 30 Days at Disaster Declaration</t>
        </is>
      </c>
      <c r="C35" s="4" t="inlineStr">
        <is>
          <t>usdaDLQAt30AtDisaster</t>
        </is>
      </c>
      <c r="D35" s="4">
        <f> TRUE</f>
        <v/>
      </c>
      <c r="E35" s="4" t="inlineStr">
        <is>
          <t>Was current or &lt; 30d DLQ when disaster declared</t>
        </is>
      </c>
      <c r="F35" s="4" t="inlineStr">
        <is>
          <t>Was &gt; 30d DLQ at time of disaster declaration</t>
        </is>
      </c>
    </row>
    <row r="36" ht="18" customHeight="1">
      <c r="A36" s="5" t="inlineStr">
        <is>
          <t>USDA SPECIAL FORBEARANCE (HB-1-3555 Sec 18.5)</t>
        </is>
      </c>
    </row>
    <row r="37" ht="30" customHeight="1">
      <c r="A37" s="3" t="inlineStr">
        <is>
          <t>Special Forbearance</t>
        </is>
      </c>
      <c r="B37" s="3" t="inlineStr">
        <is>
          <t>Hardship Type</t>
        </is>
      </c>
      <c r="C37" s="3" t="inlineStr">
        <is>
          <t>hardshipType</t>
        </is>
      </c>
      <c r="D37" s="3" t="inlineStr">
        <is>
          <t>Not Disaster</t>
        </is>
      </c>
      <c r="E37" s="3" t="inlineStr">
        <is>
          <t>Non-disaster hardship</t>
        </is>
      </c>
      <c r="F37" s="3" t="inlineStr">
        <is>
          <t>Disaster -&gt; use Disaster Forbearance</t>
        </is>
      </c>
    </row>
    <row r="38" ht="30" customHeight="1">
      <c r="A38" s="4" t="inlineStr">
        <is>
          <t>Special Forbearance</t>
        </is>
      </c>
      <c r="B38" s="4" t="inlineStr">
        <is>
          <t>Base Eligibility (br)</t>
        </is>
      </c>
      <c r="C38" s="4" t="inlineStr">
        <is>
          <t>propertyCondition, lienPosition, occupancyAbandoned</t>
        </is>
      </c>
      <c r="D38" s="4" t="inlineStr">
        <is>
          <t>All br conditions pass</t>
        </is>
      </c>
      <c r="E38" s="4" t="inlineStr">
        <is>
          <t>Not condemned, first lien, not abandoned</t>
        </is>
      </c>
      <c r="F38" s="4" t="inlineStr">
        <is>
          <t>Any br condition fails</t>
        </is>
      </c>
    </row>
    <row r="39" ht="30" customHeight="1">
      <c r="A39" s="3" t="inlineStr">
        <is>
          <t>Special Forbearance</t>
        </is>
      </c>
      <c r="B39" s="3" t="inlineStr">
        <is>
          <t>Owner Occupied</t>
        </is>
      </c>
      <c r="C39" s="3" t="inlineStr">
        <is>
          <t>occupancyStatus</t>
        </is>
      </c>
      <c r="D39" s="3">
        <f> Owner Occupied</f>
        <v/>
      </c>
      <c r="E39" s="3" t="inlineStr">
        <is>
          <t>Owner-occupied</t>
        </is>
      </c>
      <c r="F39" s="3" t="inlineStr">
        <is>
          <t>Non-owner-occ</t>
        </is>
      </c>
    </row>
    <row r="40" ht="30" customHeight="1">
      <c r="A40" s="4" t="inlineStr">
        <is>
          <t>Special Forbearance</t>
        </is>
      </c>
      <c r="B40" s="4" t="inlineStr">
        <is>
          <t>DLQ &gt;= 30 Days</t>
        </is>
      </c>
      <c r="C40" s="4" t="inlineStr">
        <is>
          <t>delinquencyDays</t>
        </is>
      </c>
      <c r="D40" s="4" t="inlineStr">
        <is>
          <t>&gt;= 30 days (at least 1 installment past due)</t>
        </is>
      </c>
      <c r="E40" s="4" t="inlineStr">
        <is>
          <t>&gt;= 30d DLQ</t>
        </is>
      </c>
      <c r="F40" s="4" t="inlineStr">
        <is>
          <t>&lt; 30d -&gt; use Informal Forbearance</t>
        </is>
      </c>
    </row>
    <row r="41" ht="30" customHeight="1">
      <c r="A41" s="3" t="inlineStr">
        <is>
          <t>Special Forbearance</t>
        </is>
      </c>
      <c r="B41" s="3" t="inlineStr">
        <is>
          <t>DLQ &lt;= 12 Months</t>
        </is>
      </c>
      <c r="C41" s="3" t="inlineStr">
        <is>
          <t>delinquencyMonths</t>
        </is>
      </c>
      <c r="D41" s="3" t="inlineStr">
        <is>
          <t>&lt;= 12 months</t>
        </is>
      </c>
      <c r="E41" s="3" t="inlineStr">
        <is>
          <t>Up to 12 months DLQ</t>
        </is>
      </c>
      <c r="F41" s="3" t="inlineStr">
        <is>
          <t>&gt; 12 months DLQ</t>
        </is>
      </c>
    </row>
    <row r="42" ht="18" customHeight="1">
      <c r="A42" s="5" t="inlineStr">
        <is>
          <t>USDA STREAMLINE LOAN MODIFICATION ('sb' base - HB-1-3555 Sec 18.7 / 7 CFR 3555.304)</t>
        </is>
      </c>
    </row>
    <row r="43" ht="30" customHeight="1">
      <c r="A43" s="4" t="inlineStr">
        <is>
          <t>Streamline Mod</t>
        </is>
      </c>
      <c r="B43" s="4" t="inlineStr">
        <is>
          <t>Hardship Type</t>
        </is>
      </c>
      <c r="C43" s="4" t="inlineStr">
        <is>
          <t>hardshipType</t>
        </is>
      </c>
      <c r="D43" s="4" t="inlineStr">
        <is>
          <t>Not Disaster</t>
        </is>
      </c>
      <c r="E43" s="4" t="inlineStr">
        <is>
          <t>Non-disaster hardship</t>
        </is>
      </c>
      <c r="F43" s="4" t="inlineStr">
        <is>
          <t>Disaster hardship</t>
        </is>
      </c>
    </row>
    <row r="44" ht="30" customHeight="1">
      <c r="A44" s="3" t="inlineStr">
        <is>
          <t>Streamline Mod</t>
        </is>
      </c>
      <c r="B44" s="3" t="inlineStr">
        <is>
          <t>Base Eligibility (br)</t>
        </is>
      </c>
      <c r="C44" s="3" t="inlineStr">
        <is>
          <t>propertyCondition, lienPosition, occupancyAbandoned</t>
        </is>
      </c>
      <c r="D44" s="3" t="inlineStr">
        <is>
          <t>All br conditions pass</t>
        </is>
      </c>
      <c r="E44" s="3" t="inlineStr">
        <is>
          <t>Habitable, first lien, not abandoned</t>
        </is>
      </c>
      <c r="F44" s="3" t="inlineStr">
        <is>
          <t>Any br condition fails</t>
        </is>
      </c>
    </row>
    <row r="45" ht="30" customHeight="1">
      <c r="A45" s="4" t="inlineStr">
        <is>
          <t>Streamline Mod</t>
        </is>
      </c>
      <c r="B45" s="4" t="inlineStr">
        <is>
          <t>Borrower Intent</t>
        </is>
      </c>
      <c r="C45" s="4" t="inlineStr">
        <is>
          <t>borrowerIntentRetention</t>
        </is>
      </c>
      <c r="D45" s="4">
        <f> TRUE</f>
        <v/>
      </c>
      <c r="E45" s="4" t="inlineStr">
        <is>
          <t>Retention intent</t>
        </is>
      </c>
      <c r="F45" s="4" t="inlineStr">
        <is>
          <t>Disposition intent</t>
        </is>
      </c>
    </row>
    <row r="46" ht="30" customHeight="1">
      <c r="A46" s="3" t="inlineStr">
        <is>
          <t>Streamline Mod</t>
        </is>
      </c>
      <c r="B46" s="3" t="inlineStr">
        <is>
          <t>Owner Occupied</t>
        </is>
      </c>
      <c r="C46" s="3" t="inlineStr">
        <is>
          <t>occupancyStatus</t>
        </is>
      </c>
      <c r="D46" s="3">
        <f> Owner Occupied</f>
        <v/>
      </c>
      <c r="E46" s="3" t="inlineStr">
        <is>
          <t>Owner-occupied</t>
        </is>
      </c>
      <c r="F46" s="3" t="inlineStr">
        <is>
          <t>Non-owner-occ</t>
        </is>
      </c>
    </row>
    <row r="47" ht="30" customHeight="1">
      <c r="A47" s="4" t="inlineStr">
        <is>
          <t>Streamline Mod</t>
        </is>
      </c>
      <c r="B47" s="4" t="inlineStr">
        <is>
          <t>DLQ &gt;= 90 Days</t>
        </is>
      </c>
      <c r="C47" s="4" t="inlineStr">
        <is>
          <t>delinquencyDays</t>
        </is>
      </c>
      <c r="D47" s="4" t="inlineStr">
        <is>
          <t>&gt;= 90 days (&gt;= 3 months)</t>
        </is>
      </c>
      <c r="E47" s="4" t="inlineStr">
        <is>
          <t>&gt;= 90d DLQ</t>
        </is>
      </c>
      <c r="F47" s="4" t="inlineStr">
        <is>
          <t>&lt; 90d -&gt; too early for mod</t>
        </is>
      </c>
    </row>
    <row r="48" ht="30" customHeight="1">
      <c r="A48" s="3" t="inlineStr">
        <is>
          <t>Streamline Mod</t>
        </is>
      </c>
      <c r="B48" s="3" t="inlineStr">
        <is>
          <t>UPB &gt;= $5,000</t>
        </is>
      </c>
      <c r="C48" s="3" t="inlineStr">
        <is>
          <t>upb (auto) OR usdaUpbGe5000 (manual)</t>
        </is>
      </c>
      <c r="D48" s="3" t="inlineStr">
        <is>
          <t>&gt;= $5,000</t>
        </is>
      </c>
      <c r="E48" s="3" t="inlineStr">
        <is>
          <t>UPB meets minimum threshold</t>
        </is>
      </c>
      <c r="F48" s="3" t="inlineStr">
        <is>
          <t>UPB &lt; $5,000</t>
        </is>
      </c>
    </row>
    <row r="49" ht="30" customHeight="1">
      <c r="A49" s="4" t="inlineStr">
        <is>
          <t>Streamline Mod</t>
        </is>
      </c>
      <c r="B49" s="4" t="inlineStr">
        <is>
          <t>No Active Bankruptcy</t>
        </is>
      </c>
      <c r="C49" s="4" t="inlineStr">
        <is>
          <t>usdaBankruptcyNotActive</t>
        </is>
      </c>
      <c r="D49" s="4">
        <f> TRUE</f>
        <v/>
      </c>
      <c r="E49" s="4" t="inlineStr">
        <is>
          <t>No active bankruptcy proceedings</t>
        </is>
      </c>
      <c r="F49" s="4" t="inlineStr">
        <is>
          <t>Active bankruptcy</t>
        </is>
      </c>
    </row>
    <row r="50" ht="30" customHeight="1">
      <c r="A50" s="3" t="inlineStr">
        <is>
          <t>Streamline Mod</t>
        </is>
      </c>
      <c r="B50" s="3" t="inlineStr">
        <is>
          <t>No Active Litigation</t>
        </is>
      </c>
      <c r="C50" s="3" t="inlineStr">
        <is>
          <t>usdaLitigationNotActive</t>
        </is>
      </c>
      <c r="D50" s="3">
        <f> TRUE</f>
        <v/>
      </c>
      <c r="E50" s="3" t="inlineStr">
        <is>
          <t>No active litigation on loan</t>
        </is>
      </c>
      <c r="F50" s="3" t="inlineStr">
        <is>
          <t>Active litigation</t>
        </is>
      </c>
    </row>
    <row r="51" ht="30" customHeight="1">
      <c r="A51" s="4" t="inlineStr">
        <is>
          <t>Streamline Mod</t>
        </is>
      </c>
      <c r="B51" s="4" t="inlineStr">
        <is>
          <t>No Prior Failed Streamline TPP</t>
        </is>
      </c>
      <c r="C51" s="4" t="inlineStr">
        <is>
          <t>usdaPriorFailedStreamlineTPP</t>
        </is>
      </c>
      <c r="D51" s="4">
        <f> FALSE</f>
        <v/>
      </c>
      <c r="E51" s="4" t="inlineStr">
        <is>
          <t>No prior failed trial plan</t>
        </is>
      </c>
      <c r="F51" s="4" t="inlineStr">
        <is>
          <t>Prior failed Streamline TPP -&gt; ineligible</t>
        </is>
      </c>
    </row>
    <row r="52" ht="30" customHeight="1">
      <c r="A52" s="3" t="inlineStr">
        <is>
          <t>Streamline Mod</t>
        </is>
      </c>
      <c r="B52" s="3" t="inlineStr">
        <is>
          <t>Prior Mods &lt; 2 (lifetime)</t>
        </is>
      </c>
      <c r="C52" s="3" t="inlineStr">
        <is>
          <t>usdaNumPrevMods</t>
        </is>
      </c>
      <c r="D52" s="3" t="inlineStr">
        <is>
          <t>&lt; 2 (max 1 Streamline mod lifetime)</t>
        </is>
      </c>
      <c r="E52" s="3" t="inlineStr">
        <is>
          <t>0 or 1 prior mods</t>
        </is>
      </c>
      <c r="F52" s="3" t="inlineStr">
        <is>
          <t>&gt;= 2 prior mods</t>
        </is>
      </c>
    </row>
    <row r="53" ht="30" customHeight="1">
      <c r="A53" s="4" t="inlineStr">
        <is>
          <t>Streamline Mod</t>
        </is>
      </c>
      <c r="B53" s="4" t="inlineStr">
        <is>
          <t>Foreclosure Sale &gt;= 60 Days Away</t>
        </is>
      </c>
      <c r="C53" s="4" t="inlineStr">
        <is>
          <t>usdaForeclosureSaleGe60Away</t>
        </is>
      </c>
      <c r="D53" s="4">
        <f> TRUE</f>
        <v/>
      </c>
      <c r="E53" s="4" t="inlineStr">
        <is>
          <t>Adequate time before sale</t>
        </is>
      </c>
      <c r="F53" s="4" t="inlineStr">
        <is>
          <t>Sale &lt; 60 days away</t>
        </is>
      </c>
    </row>
    <row r="54" ht="30" customHeight="1">
      <c r="A54" s="3" t="inlineStr">
        <is>
          <t>Streamline Mod</t>
        </is>
      </c>
      <c r="B54" s="3" t="inlineStr">
        <is>
          <t>Property Not Listed for Sale</t>
        </is>
      </c>
      <c r="C54" s="3" t="inlineStr">
        <is>
          <t>propertyListedForSale</t>
        </is>
      </c>
      <c r="D54" s="3">
        <f> FALSE</f>
        <v/>
      </c>
      <c r="E54" s="3" t="inlineStr">
        <is>
          <t>Not actively for sale</t>
        </is>
      </c>
      <c r="F54" s="3" t="inlineStr">
        <is>
          <t>Listed for sale</t>
        </is>
      </c>
    </row>
    <row r="55" ht="30" customHeight="1">
      <c r="A55" s="4" t="inlineStr">
        <is>
          <t>Streamline Mod</t>
        </is>
      </c>
      <c r="B55" s="4" t="inlineStr">
        <is>
          <t>Post-Mod Total DTI &lt;= 55%</t>
        </is>
      </c>
      <c r="C55" s="4" t="inlineStr">
        <is>
          <t>usdaTotalDTILe55</t>
        </is>
      </c>
      <c r="D55" s="4">
        <f> TRUE</f>
        <v/>
      </c>
      <c r="E55" s="4" t="inlineStr">
        <is>
          <t>Total debt payments &lt;= 55% GMI after mod</t>
        </is>
      </c>
      <c r="F55" s="4" t="inlineStr">
        <is>
          <t>Post-mod DTI &gt; 55%</t>
        </is>
      </c>
    </row>
    <row r="56" ht="30" customHeight="1">
      <c r="A56" s="3" t="inlineStr">
        <is>
          <t>Streamline Mod</t>
        </is>
      </c>
      <c r="B56" s="3" t="inlineStr">
        <is>
          <t>Rate Calculation</t>
        </is>
      </c>
      <c r="C56" s="3" t="inlineStr">
        <is>
          <t>pmmsRate, currentInterestRate</t>
        </is>
      </c>
      <c r="D56" s="3" t="inlineStr">
        <is>
          <t>Lesser of: current note rate OR (PMMS + 50bps)</t>
        </is>
      </c>
      <c r="E56" s="3" t="inlineStr">
        <is>
          <t>Rate determined per 7 CFR 3555.304</t>
        </is>
      </c>
      <c r="F56" s="3" t="inlineStr">
        <is>
          <t>N/A - always calculated if data entered</t>
        </is>
      </c>
    </row>
    <row r="57" ht="30" customHeight="1">
      <c r="A57" s="4" t="inlineStr">
        <is>
          <t>Streamline Mod</t>
        </is>
      </c>
      <c r="B57" s="4" t="inlineStr">
        <is>
          <t>Term</t>
        </is>
      </c>
      <c r="C57" s="4" t="inlineStr">
        <is>
          <t>N/A</t>
        </is>
      </c>
      <c r="D57" s="4" t="inlineStr">
        <is>
          <t>480 months (40 years)</t>
        </is>
      </c>
      <c r="E57" s="4" t="inlineStr">
        <is>
          <t>Always 480-month term</t>
        </is>
      </c>
      <c r="F57" s="4" t="inlineStr">
        <is>
          <t>N/A</t>
        </is>
      </c>
    </row>
    <row r="58" ht="30" customHeight="1">
      <c r="A58" s="3" t="inlineStr">
        <is>
          <t>Streamline Mod</t>
        </is>
      </c>
      <c r="B58" s="3" t="inlineStr">
        <is>
          <t>Target DTI</t>
        </is>
      </c>
      <c r="C58" s="3" t="inlineStr">
        <is>
          <t>Calc: new PITI / GMI</t>
        </is>
      </c>
      <c r="D58" s="3" t="inlineStr">
        <is>
          <t>31% front-end DTI target</t>
        </is>
      </c>
      <c r="E58" s="3" t="inlineStr">
        <is>
          <t>Achieves 31% front-end</t>
        </is>
      </c>
      <c r="F58" s="3" t="inlineStr">
        <is>
          <t>Cannot achieve 31% -&gt; try MRA Servicing Plan</t>
        </is>
      </c>
    </row>
    <row r="59" ht="18" customHeight="1">
      <c r="A59" s="5" t="inlineStr">
        <is>
          <t>USDA STREAMLINE FINAL OFFER (7 CFR 3555.304(b)(2) - additional beyond 'sb')</t>
        </is>
      </c>
    </row>
    <row r="60" ht="30" customHeight="1">
      <c r="A60" s="4" t="inlineStr">
        <is>
          <t>Streamline Final Offer</t>
        </is>
      </c>
      <c r="B60" s="4" t="inlineStr">
        <is>
          <t>Borrower Unresponsive to Streamline Mod Offer</t>
        </is>
      </c>
      <c r="C60" s="4" t="inlineStr">
        <is>
          <t>usdaBorrowerUnresponsive</t>
        </is>
      </c>
      <c r="D60" s="4">
        <f> TRUE</f>
        <v/>
      </c>
      <c r="E60" s="4" t="inlineStr">
        <is>
          <t>Borrower failed to respond to standard Streamline Mod offer</t>
        </is>
      </c>
      <c r="F60" s="4" t="inlineStr">
        <is>
          <t>Borrower responsive -&gt; use standard Streamline Mod</t>
        </is>
      </c>
    </row>
    <row r="61" ht="30" customHeight="1">
      <c r="A61" s="3" t="inlineStr">
        <is>
          <t>Streamline Final Offer</t>
        </is>
      </c>
      <c r="B61" s="3" t="inlineStr">
        <is>
          <t>&gt;=10% P&amp;I Reduction Achievable @ 480 Months</t>
        </is>
      </c>
      <c r="C61" s="3" t="inlineStr">
        <is>
          <t>Calc: newPI(newUPB, lesser(curRate, PMMS+50bps), 480) &lt;= currentPI * 0.90</t>
        </is>
      </c>
      <c r="D61" s="3" t="inlineStr">
        <is>
          <t>New P&amp;I &lt;= current P&amp;I * 0.90</t>
        </is>
      </c>
      <c r="E61" s="3" t="inlineStr">
        <is>
          <t>&gt;= 10% P&amp;I reduction achieved</t>
        </is>
      </c>
      <c r="F61" s="3" t="inlineStr">
        <is>
          <t>&lt; 10% reduction - modification not beneficial enough</t>
        </is>
      </c>
    </row>
    <row r="62" ht="30" customHeight="1">
      <c r="A62" s="4" t="inlineStr">
        <is>
          <t>Streamline Final Offer</t>
        </is>
      </c>
      <c r="B62" s="4" t="inlineStr">
        <is>
          <t>No Income Documentation Required</t>
        </is>
      </c>
      <c r="C62" s="4" t="inlineStr">
        <is>
          <t>N/A</t>
        </is>
      </c>
      <c r="D62" s="4" t="inlineStr">
        <is>
          <t>No income verification</t>
        </is>
      </c>
      <c r="E62" s="4" t="inlineStr">
        <is>
          <t>Servicer can execute without income docs</t>
        </is>
      </c>
      <c r="F62" s="4" t="inlineStr">
        <is>
          <t>N/A - key advantage of Final Offer track</t>
        </is>
      </c>
    </row>
    <row r="63" ht="18" customHeight="1">
      <c r="A63" s="5" t="inlineStr">
        <is>
          <t>USDA MODIFICATION + MRA SERVICING PLAN (USDA RD Final Rule Feb 11, 2025 - additional beyond 'sb')</t>
        </is>
      </c>
    </row>
    <row r="64" ht="30" customHeight="1">
      <c r="A64" s="3" t="inlineStr">
        <is>
          <t>Mod + MRA Servicing Plan</t>
        </is>
      </c>
      <c r="B64" s="3" t="inlineStr">
        <is>
          <t>Streamline Mod Base Eligible (sb)</t>
        </is>
      </c>
      <c r="C64" s="3" t="inlineStr">
        <is>
          <t>All sb criteria</t>
        </is>
      </c>
      <c r="D64" s="3" t="inlineStr">
        <is>
          <t>All sb conditions pass</t>
        </is>
      </c>
      <c r="E64" s="3" t="inlineStr">
        <is>
          <t>Eligible for Streamline Mod base</t>
        </is>
      </c>
      <c r="F64" s="3" t="inlineStr">
        <is>
          <t>Any sb condition fails</t>
        </is>
      </c>
    </row>
    <row r="65" ht="30" customHeight="1">
      <c r="A65" s="4" t="inlineStr">
        <is>
          <t>Mod + MRA Servicing Plan</t>
        </is>
      </c>
      <c r="B65" s="4" t="inlineStr">
        <is>
          <t>Step 3 Deferral Required</t>
        </is>
      </c>
      <c r="C65" s="4" t="inlineStr">
        <is>
          <t>usdaStep3DeferralRequired</t>
        </is>
      </c>
      <c r="D65" s="4">
        <f> TRUE</f>
        <v/>
      </c>
      <c r="E65" s="4" t="inlineStr">
        <is>
          <t>480-mo re-amortization alone cannot reach PITI target; MRA principal deferral needed</t>
        </is>
      </c>
      <c r="F65" s="4" t="inlineStr">
        <is>
          <t>Streamline Mod alone achieves target -&gt; use Streamline Mod instead</t>
        </is>
      </c>
    </row>
    <row r="66" ht="18" customHeight="1">
      <c r="A66" s="5" t="inlineStr">
        <is>
          <t>USDA STANDALONE MORTGAGE RECOVERY ADVANCE (MRA) (HB-1-3555 Sec 18.6)</t>
        </is>
      </c>
    </row>
    <row r="67" ht="30" customHeight="1">
      <c r="A67" s="3" t="inlineStr">
        <is>
          <t>Standalone MRA</t>
        </is>
      </c>
      <c r="B67" s="3" t="inlineStr">
        <is>
          <t>Hardship Type</t>
        </is>
      </c>
      <c r="C67" s="3" t="inlineStr">
        <is>
          <t>hardshipType</t>
        </is>
      </c>
      <c r="D67" s="3" t="inlineStr">
        <is>
          <t>Not Disaster</t>
        </is>
      </c>
      <c r="E67" s="3" t="inlineStr">
        <is>
          <t>Non-disaster hardship</t>
        </is>
      </c>
      <c r="F67" s="3" t="inlineStr">
        <is>
          <t>Disaster -&gt; use Disaster MRA track</t>
        </is>
      </c>
    </row>
    <row r="68" ht="30" customHeight="1">
      <c r="A68" s="4" t="inlineStr">
        <is>
          <t>Standalone MRA</t>
        </is>
      </c>
      <c r="B68" s="4" t="inlineStr">
        <is>
          <t>Borrower Can Resume Current Payment</t>
        </is>
      </c>
      <c r="C68" s="4" t="inlineStr">
        <is>
          <t>usdaBorrowerCanResumeCurrent</t>
        </is>
      </c>
      <c r="D68" s="4">
        <f> TRUE</f>
        <v/>
      </c>
      <c r="E68" s="4" t="inlineStr">
        <is>
          <t>Can make regular monthly payment going forward</t>
        </is>
      </c>
      <c r="F68" s="4" t="inlineStr">
        <is>
          <t>Cannot resume payment -&gt; needs mod</t>
        </is>
      </c>
    </row>
    <row r="69" ht="30" customHeight="1">
      <c r="A69" s="3" t="inlineStr">
        <is>
          <t>Standalone MRA</t>
        </is>
      </c>
      <c r="B69" s="3" t="inlineStr">
        <is>
          <t>Hardship Resolved OR Mod Ineligible</t>
        </is>
      </c>
      <c r="C69" s="3" t="inlineStr">
        <is>
          <t>usdaHardshipDurationResolved OR usdaLoanModIneligible</t>
        </is>
      </c>
      <c r="D69" s="3" t="inlineStr">
        <is>
          <t>At least one = TRUE</t>
        </is>
      </c>
      <c r="E69" s="3" t="inlineStr">
        <is>
          <t>Hardship has resolved OR loan is ineligible for modification</t>
        </is>
      </c>
      <c r="F69" s="3" t="inlineStr">
        <is>
          <t>Neither condition met</t>
        </is>
      </c>
    </row>
    <row r="70" ht="30" customHeight="1">
      <c r="A70" s="4" t="inlineStr">
        <is>
          <t>Standalone MRA</t>
        </is>
      </c>
      <c r="B70" s="4" t="inlineStr">
        <is>
          <t>Cannot Cure DLQ Within 12 Months Alone</t>
        </is>
      </c>
      <c r="C70" s="4" t="inlineStr">
        <is>
          <t>usdaBorrowerCannotCureDLQWithin12</t>
        </is>
      </c>
      <c r="D70" s="4">
        <f> TRUE</f>
        <v/>
      </c>
      <c r="E70" s="4" t="inlineStr">
        <is>
          <t>Cannot self-cure arrears within 12 months</t>
        </is>
      </c>
      <c r="F70" s="4" t="inlineStr">
        <is>
          <t>Can self-cure within 12 months -&gt; reinstatement preferred</t>
        </is>
      </c>
    </row>
    <row r="71" ht="30" customHeight="1">
      <c r="A71" s="3" t="inlineStr">
        <is>
          <t>Standalone MRA</t>
        </is>
      </c>
      <c r="B71" s="3" t="inlineStr">
        <is>
          <t>Lien Position</t>
        </is>
      </c>
      <c r="C71" s="3" t="inlineStr">
        <is>
          <t>lienPosition</t>
        </is>
      </c>
      <c r="D71" s="3">
        <f> First</f>
        <v/>
      </c>
      <c r="E71" s="3" t="inlineStr">
        <is>
          <t>First lien</t>
        </is>
      </c>
      <c r="F71" s="3" t="inlineStr">
        <is>
          <t>Junior lien</t>
        </is>
      </c>
    </row>
    <row r="72" ht="30" customHeight="1">
      <c r="A72" s="4" t="inlineStr">
        <is>
          <t>Standalone MRA</t>
        </is>
      </c>
      <c r="B72" s="4" t="inlineStr">
        <is>
          <t>Not Condemned</t>
        </is>
      </c>
      <c r="C72" s="4" t="inlineStr">
        <is>
          <t>propertyCondition</t>
        </is>
      </c>
      <c r="D72" s="4" t="inlineStr">
        <is>
          <t>Not Condemned</t>
        </is>
      </c>
      <c r="E72" s="4" t="inlineStr">
        <is>
          <t>Habitable property</t>
        </is>
      </c>
      <c r="F72" s="4" t="inlineStr">
        <is>
          <t>Condemned property</t>
        </is>
      </c>
    </row>
    <row r="73" ht="30" customHeight="1">
      <c r="A73" s="3" t="inlineStr">
        <is>
          <t>Standalone MRA</t>
        </is>
      </c>
      <c r="B73" s="3" t="inlineStr">
        <is>
          <t>Not Abandoned</t>
        </is>
      </c>
      <c r="C73" s="3" t="inlineStr">
        <is>
          <t>occupancyAbandoned</t>
        </is>
      </c>
      <c r="D73" s="3">
        <f> FALSE</f>
        <v/>
      </c>
      <c r="E73" s="3" t="inlineStr">
        <is>
          <t>Property not abandoned</t>
        </is>
      </c>
      <c r="F73" s="3" t="inlineStr">
        <is>
          <t>Abandoned property</t>
        </is>
      </c>
    </row>
    <row r="74" ht="30" customHeight="1">
      <c r="A74" s="4" t="inlineStr">
        <is>
          <t>Standalone MRA</t>
        </is>
      </c>
      <c r="B74" s="4" t="inlineStr">
        <is>
          <t>DLQ &gt;= 30 Days</t>
        </is>
      </c>
      <c r="C74" s="4" t="inlineStr">
        <is>
          <t>delinquencyDays</t>
        </is>
      </c>
      <c r="D74" s="4" t="inlineStr">
        <is>
          <t>&gt;= 30 days</t>
        </is>
      </c>
      <c r="E74" s="4" t="inlineStr">
        <is>
          <t>&gt;= 1 installment past due</t>
        </is>
      </c>
      <c r="F74" s="4" t="inlineStr">
        <is>
          <t>&lt; 30 days DLQ</t>
        </is>
      </c>
    </row>
    <row r="75" ht="18" customHeight="1">
      <c r="A75" s="5" t="inlineStr">
        <is>
          <t>USDA DISASTER TERM EXTENSION MODIFICATION (HB-1-3555 Sec 18.7)</t>
        </is>
      </c>
    </row>
    <row r="76" ht="30" customHeight="1">
      <c r="A76" s="3" t="inlineStr">
        <is>
          <t>Disaster Term Extension Mod</t>
        </is>
      </c>
      <c r="B76" s="3" t="inlineStr">
        <is>
          <t>Prior Workout = Disaster Forbearance</t>
        </is>
      </c>
      <c r="C76" s="3" t="inlineStr">
        <is>
          <t>usdaPriorWorkoutDisasterForbearance</t>
        </is>
      </c>
      <c r="D76" s="3">
        <f> TRUE</f>
        <v/>
      </c>
      <c r="E76" s="3" t="inlineStr">
        <is>
          <t>Had prior Disaster Forbearance workout</t>
        </is>
      </c>
      <c r="F76" s="3" t="inlineStr">
        <is>
          <t>No prior disaster forbearance</t>
        </is>
      </c>
    </row>
    <row r="77" ht="30" customHeight="1">
      <c r="A77" s="4" t="inlineStr">
        <is>
          <t>Disaster Term Extension Mod</t>
        </is>
      </c>
      <c r="B77" s="4" t="inlineStr">
        <is>
          <t>Hardship = Disaster</t>
        </is>
      </c>
      <c r="C77" s="4" t="inlineStr">
        <is>
          <t>hardshipType</t>
        </is>
      </c>
      <c r="D77" s="4">
        <f> Disaster</f>
        <v/>
      </c>
      <c r="E77" s="4" t="inlineStr">
        <is>
          <t>Disaster hardship confirmed</t>
        </is>
      </c>
      <c r="F77" s="4" t="inlineStr">
        <is>
          <t>Non-disaster</t>
        </is>
      </c>
    </row>
    <row r="78" ht="30" customHeight="1">
      <c r="A78" s="3" t="inlineStr">
        <is>
          <t>Disaster Term Extension Mod</t>
        </is>
      </c>
      <c r="B78" s="3" t="inlineStr">
        <is>
          <t>Hardship NOT Resolved</t>
        </is>
      </c>
      <c r="C78" s="3" t="inlineStr">
        <is>
          <t>usdaHardshipNotResolved</t>
        </is>
      </c>
      <c r="D78" s="3">
        <f> TRUE</f>
        <v/>
      </c>
      <c r="E78" s="3" t="inlineStr">
        <is>
          <t>Hardship still ongoing</t>
        </is>
      </c>
      <c r="F78" s="3" t="inlineStr">
        <is>
          <t>Hardship resolved -&gt; use Disaster Modification</t>
        </is>
      </c>
    </row>
    <row r="79" ht="30" customHeight="1">
      <c r="A79" s="4" t="inlineStr">
        <is>
          <t>Disaster Term Extension Mod</t>
        </is>
      </c>
      <c r="B79" s="4" t="inlineStr">
        <is>
          <t>Lien Position</t>
        </is>
      </c>
      <c r="C79" s="4" t="inlineStr">
        <is>
          <t>lienPosition</t>
        </is>
      </c>
      <c r="D79" s="4">
        <f> First</f>
        <v/>
      </c>
      <c r="E79" s="4" t="inlineStr">
        <is>
          <t>First lien</t>
        </is>
      </c>
      <c r="F79" s="4" t="inlineStr">
        <is>
          <t>Junior lien</t>
        </is>
      </c>
    </row>
    <row r="80" ht="30" customHeight="1">
      <c r="A80" s="3" t="inlineStr">
        <is>
          <t>Disaster Term Extension Mod</t>
        </is>
      </c>
      <c r="B80" s="3" t="inlineStr">
        <is>
          <t>Not Condemned</t>
        </is>
      </c>
      <c r="C80" s="3" t="inlineStr">
        <is>
          <t>propertyCondition</t>
        </is>
      </c>
      <c r="D80" s="3" t="inlineStr">
        <is>
          <t>Not Condemned</t>
        </is>
      </c>
      <c r="E80" s="3" t="inlineStr">
        <is>
          <t>Habitable</t>
        </is>
      </c>
      <c r="F80" s="3" t="inlineStr">
        <is>
          <t>Condemned</t>
        </is>
      </c>
    </row>
    <row r="81" ht="30" customHeight="1">
      <c r="A81" s="4" t="inlineStr">
        <is>
          <t>Disaster Term Extension Mod</t>
        </is>
      </c>
      <c r="B81" s="4" t="inlineStr">
        <is>
          <t>Not Abandoned</t>
        </is>
      </c>
      <c r="C81" s="4" t="inlineStr">
        <is>
          <t>occupancyAbandoned</t>
        </is>
      </c>
      <c r="D81" s="4">
        <f> FALSE</f>
        <v/>
      </c>
      <c r="E81" s="4" t="inlineStr">
        <is>
          <t>Not abandoned</t>
        </is>
      </c>
      <c r="F81" s="4" t="inlineStr">
        <is>
          <t>Abandoned</t>
        </is>
      </c>
    </row>
    <row r="82" ht="30" customHeight="1">
      <c r="A82" s="3" t="inlineStr">
        <is>
          <t>Disaster Term Extension Mod</t>
        </is>
      </c>
      <c r="B82" s="3" t="inlineStr">
        <is>
          <t>DLQ &gt;= 12 Contractual Payments</t>
        </is>
      </c>
      <c r="C82" s="3" t="inlineStr">
        <is>
          <t>usdaDLQGe12Contractual</t>
        </is>
      </c>
      <c r="D82" s="3">
        <f> TRUE</f>
        <v/>
      </c>
      <c r="E82" s="3" t="inlineStr">
        <is>
          <t>At least 12 contractual payments past due</t>
        </is>
      </c>
      <c r="F82" s="3" t="inlineStr">
        <is>
          <t>&lt; 12 contractual payments DLQ</t>
        </is>
      </c>
    </row>
    <row r="83" ht="30" customHeight="1">
      <c r="A83" s="4" t="inlineStr">
        <is>
          <t>Disaster Term Extension Mod</t>
        </is>
      </c>
      <c r="B83" s="4" t="inlineStr">
        <is>
          <t>DLQ &lt;= 30 Days at Disaster Declaration</t>
        </is>
      </c>
      <c r="C83" s="4" t="inlineStr">
        <is>
          <t>usdaDLQAt30AtDisaster</t>
        </is>
      </c>
      <c r="D83" s="4">
        <f> TRUE</f>
        <v/>
      </c>
      <c r="E83" s="4" t="inlineStr">
        <is>
          <t>Was current or &lt; 30d DLQ at declaration</t>
        </is>
      </c>
      <c r="F83" s="4" t="inlineStr">
        <is>
          <t>&gt; 30d DLQ at declaration</t>
        </is>
      </c>
    </row>
    <row r="84" ht="30" customHeight="1">
      <c r="A84" s="3" t="inlineStr">
        <is>
          <t>Disaster Term Extension Mod</t>
        </is>
      </c>
      <c r="B84" s="3" t="inlineStr">
        <is>
          <t>Loan &gt;= 60 Days DLQ</t>
        </is>
      </c>
      <c r="C84" s="3" t="inlineStr">
        <is>
          <t>usdaLoanGe60DLQ</t>
        </is>
      </c>
      <c r="D84" s="3">
        <f> TRUE</f>
        <v/>
      </c>
      <c r="E84" s="3" t="inlineStr">
        <is>
          <t>Currently &gt;= 60 days DLQ</t>
        </is>
      </c>
      <c r="F84" s="3" t="inlineStr">
        <is>
          <t>&lt; 60 days DLQ</t>
        </is>
      </c>
    </row>
    <row r="85" ht="30" customHeight="1">
      <c r="A85" s="4" t="inlineStr">
        <is>
          <t>Disaster Term Extension Mod</t>
        </is>
      </c>
      <c r="B85" s="4" t="inlineStr">
        <is>
          <t>Previous Workout = Forbearance</t>
        </is>
      </c>
      <c r="C85" s="4" t="inlineStr">
        <is>
          <t>usdaPrevWorkoutForbearance</t>
        </is>
      </c>
      <c r="D85" s="4">
        <f> TRUE</f>
        <v/>
      </c>
      <c r="E85" s="4" t="inlineStr">
        <is>
          <t>Prior workout was forbearance</t>
        </is>
      </c>
      <c r="F85" s="4" t="inlineStr">
        <is>
          <t>Prior workout was not forbearance</t>
        </is>
      </c>
    </row>
    <row r="86" ht="30" customHeight="1">
      <c r="A86" s="3" t="inlineStr">
        <is>
          <t>Disaster Term Extension Mod</t>
        </is>
      </c>
      <c r="B86" s="3" t="inlineStr">
        <is>
          <t>Workout State = Active or Passed</t>
        </is>
      </c>
      <c r="C86" s="3" t="inlineStr">
        <is>
          <t>usdaWorkoutStateActivePassed</t>
        </is>
      </c>
      <c r="D86" s="3">
        <f> TRUE</f>
        <v/>
      </c>
      <c r="E86" s="3" t="inlineStr">
        <is>
          <t>Workout is active or in passed state</t>
        </is>
      </c>
      <c r="F86" s="3" t="inlineStr">
        <is>
          <t>Workout in other state</t>
        </is>
      </c>
    </row>
    <row r="87" ht="18" customHeight="1">
      <c r="A87" s="5" t="inlineStr">
        <is>
          <t>USDA DISASTER MODIFICATION (HB-1-3555 Sec 18.7)</t>
        </is>
      </c>
    </row>
    <row r="88" ht="30" customHeight="1">
      <c r="A88" s="4" t="inlineStr">
        <is>
          <t>Disaster Modification</t>
        </is>
      </c>
      <c r="B88" s="4" t="inlineStr">
        <is>
          <t>Hardship = Disaster</t>
        </is>
      </c>
      <c r="C88" s="4" t="inlineStr">
        <is>
          <t>hardshipType</t>
        </is>
      </c>
      <c r="D88" s="4">
        <f> Disaster</f>
        <v/>
      </c>
      <c r="E88" s="4" t="inlineStr">
        <is>
          <t>Disaster hardship</t>
        </is>
      </c>
      <c r="F88" s="4" t="inlineStr">
        <is>
          <t>Non-disaster</t>
        </is>
      </c>
    </row>
    <row r="89" ht="30" customHeight="1">
      <c r="A89" s="3" t="inlineStr">
        <is>
          <t>Disaster Modification</t>
        </is>
      </c>
      <c r="B89" s="3" t="inlineStr">
        <is>
          <t>Lien Position</t>
        </is>
      </c>
      <c r="C89" s="3" t="inlineStr">
        <is>
          <t>lienPosition</t>
        </is>
      </c>
      <c r="D89" s="3">
        <f> First</f>
        <v/>
      </c>
      <c r="E89" s="3" t="inlineStr">
        <is>
          <t>First lien</t>
        </is>
      </c>
      <c r="F89" s="3" t="inlineStr">
        <is>
          <t>Junior lien</t>
        </is>
      </c>
    </row>
    <row r="90" ht="30" customHeight="1">
      <c r="A90" s="4" t="inlineStr">
        <is>
          <t>Disaster Modification</t>
        </is>
      </c>
      <c r="B90" s="4" t="inlineStr">
        <is>
          <t>DLQ &lt;= 30 Days at Disaster Declaration</t>
        </is>
      </c>
      <c r="C90" s="4" t="inlineStr">
        <is>
          <t>usdaDLQAt30AtDisaster</t>
        </is>
      </c>
      <c r="D90" s="4">
        <f> TRUE</f>
        <v/>
      </c>
      <c r="E90" s="4" t="inlineStr">
        <is>
          <t>Was current or &lt; 30d DLQ at declaration</t>
        </is>
      </c>
      <c r="F90" s="4" t="inlineStr">
        <is>
          <t>&gt; 30d at declaration</t>
        </is>
      </c>
    </row>
    <row r="91" ht="30" customHeight="1">
      <c r="A91" s="3" t="inlineStr">
        <is>
          <t>Disaster Modification</t>
        </is>
      </c>
      <c r="B91" s="3" t="inlineStr">
        <is>
          <t>Hardship = Resolved</t>
        </is>
      </c>
      <c r="C91" s="3" t="inlineStr">
        <is>
          <t>hardshipDuration</t>
        </is>
      </c>
      <c r="D91" s="3">
        <f> Resolved</f>
        <v/>
      </c>
      <c r="E91" s="3" t="inlineStr">
        <is>
          <t>Hardship has since resolved</t>
        </is>
      </c>
      <c r="F91" s="3" t="inlineStr">
        <is>
          <t>Still experiencing hardship -&gt; use Extension Mod</t>
        </is>
      </c>
    </row>
    <row r="92" ht="30" customHeight="1">
      <c r="A92" s="4" t="inlineStr">
        <is>
          <t>Disaster Modification</t>
        </is>
      </c>
      <c r="B92" s="4" t="inlineStr">
        <is>
          <t>Not Condemned</t>
        </is>
      </c>
      <c r="C92" s="4" t="inlineStr">
        <is>
          <t>propertyCondition</t>
        </is>
      </c>
      <c r="D92" s="4" t="inlineStr">
        <is>
          <t>Not Condemned</t>
        </is>
      </c>
      <c r="E92" s="4" t="inlineStr">
        <is>
          <t>Habitable</t>
        </is>
      </c>
      <c r="F92" s="4" t="inlineStr">
        <is>
          <t>Condemned</t>
        </is>
      </c>
    </row>
    <row r="93" ht="30" customHeight="1">
      <c r="A93" s="3" t="inlineStr">
        <is>
          <t>Disaster Modification</t>
        </is>
      </c>
      <c r="B93" s="3" t="inlineStr">
        <is>
          <t>Not Abandoned</t>
        </is>
      </c>
      <c r="C93" s="3" t="inlineStr">
        <is>
          <t>occupancyAbandoned</t>
        </is>
      </c>
      <c r="D93" s="3">
        <f> FALSE</f>
        <v/>
      </c>
      <c r="E93" s="3" t="inlineStr">
        <is>
          <t>Not abandoned</t>
        </is>
      </c>
      <c r="F93" s="3" t="inlineStr">
        <is>
          <t>Abandoned</t>
        </is>
      </c>
    </row>
    <row r="94" ht="30" customHeight="1">
      <c r="A94" s="4" t="inlineStr">
        <is>
          <t>Disaster Modification</t>
        </is>
      </c>
      <c r="B94" s="4" t="inlineStr">
        <is>
          <t>Cannot Resume Payment</t>
        </is>
      </c>
      <c r="C94" s="4" t="inlineStr">
        <is>
          <t>usdaBorrowerCanResumePmtFalse</t>
        </is>
      </c>
      <c r="D94" s="4">
        <f> TRUE</f>
        <v/>
      </c>
      <c r="E94" s="4" t="inlineStr">
        <is>
          <t>Cannot make current scheduled payment</t>
        </is>
      </c>
      <c r="F94" s="4" t="inlineStr">
        <is>
          <t>Can resume payment -&gt; use standalone MRA</t>
        </is>
      </c>
    </row>
    <row r="95" ht="30" customHeight="1">
      <c r="A95" s="3" t="inlineStr">
        <is>
          <t>Disaster Modification</t>
        </is>
      </c>
      <c r="B95" s="3" t="inlineStr">
        <is>
          <t>Loan &gt;= 30 Days DLQ</t>
        </is>
      </c>
      <c r="C95" s="3" t="inlineStr">
        <is>
          <t>usdaLoanGe30DaysDLQ</t>
        </is>
      </c>
      <c r="D95" s="3">
        <f> TRUE</f>
        <v/>
      </c>
      <c r="E95" s="3" t="inlineStr">
        <is>
          <t>&gt;= 30d DLQ currently</t>
        </is>
      </c>
      <c r="F95" s="3" t="inlineStr">
        <is>
          <t>&lt; 30d DLQ</t>
        </is>
      </c>
    </row>
    <row r="96" ht="30" customHeight="1">
      <c r="A96" s="4" t="inlineStr">
        <is>
          <t>Disaster Modification</t>
        </is>
      </c>
      <c r="B96" s="4" t="inlineStr">
        <is>
          <t>Post-Mod PITI &lt;= Pre-Mod PITI</t>
        </is>
      </c>
      <c r="C96" s="4" t="inlineStr">
        <is>
          <t>usdaPostModPITILePreMod</t>
        </is>
      </c>
      <c r="D96" s="4">
        <f> TRUE</f>
        <v/>
      </c>
      <c r="E96" s="4" t="inlineStr">
        <is>
          <t>Modification reduces or maintains PITI</t>
        </is>
      </c>
      <c r="F96" s="4" t="inlineStr">
        <is>
          <t>Post-mod PITI would increase</t>
        </is>
      </c>
    </row>
    <row r="97" ht="18" customHeight="1">
      <c r="A97" s="5" t="inlineStr">
        <is>
          <t>USDA DISASTER MRA (HB-1-3555 Sec 18.6)</t>
        </is>
      </c>
    </row>
    <row r="98" ht="30" customHeight="1">
      <c r="A98" s="3" t="inlineStr">
        <is>
          <t>Disaster MRA</t>
        </is>
      </c>
      <c r="B98" s="3" t="inlineStr">
        <is>
          <t>NOT Eligible for Disaster Extension Mod</t>
        </is>
      </c>
      <c r="C98" s="3" t="inlineStr">
        <is>
          <t>usdaEligibleForDisasterExtension</t>
        </is>
      </c>
      <c r="D98" s="3">
        <f> FALSE</f>
        <v/>
      </c>
      <c r="E98" s="3" t="inlineStr">
        <is>
          <t>Disaster Term Extension Mod was evaluated and failed</t>
        </is>
      </c>
      <c r="F98" s="3" t="inlineStr">
        <is>
          <t>Eligible for Disaster Extension Mod -&gt; use that instead</t>
        </is>
      </c>
    </row>
    <row r="99" ht="30" customHeight="1">
      <c r="A99" s="4" t="inlineStr">
        <is>
          <t>Disaster MRA</t>
        </is>
      </c>
      <c r="B99" s="4" t="inlineStr">
        <is>
          <t>NOT Eligible for Disaster Modification</t>
        </is>
      </c>
      <c r="C99" s="4" t="inlineStr">
        <is>
          <t>usdaEligibleForDisasterMod</t>
        </is>
      </c>
      <c r="D99" s="4">
        <f> FALSE</f>
        <v/>
      </c>
      <c r="E99" s="4" t="inlineStr">
        <is>
          <t>Disaster Modification was evaluated and failed</t>
        </is>
      </c>
      <c r="F99" s="4" t="inlineStr">
        <is>
          <t>Eligible for Disaster Mod -&gt; use that instead</t>
        </is>
      </c>
    </row>
    <row r="100" ht="30" customHeight="1">
      <c r="A100" s="3" t="inlineStr">
        <is>
          <t>Disaster MRA</t>
        </is>
      </c>
      <c r="B100" s="3" t="inlineStr">
        <is>
          <t>Hardship = Disaster</t>
        </is>
      </c>
      <c r="C100" s="3" t="inlineStr">
        <is>
          <t>hardshipType</t>
        </is>
      </c>
      <c r="D100" s="3">
        <f> Disaster</f>
        <v/>
      </c>
      <c r="E100" s="3" t="inlineStr">
        <is>
          <t>Disaster hardship confirmed</t>
        </is>
      </c>
      <c r="F100" s="3" t="inlineStr">
        <is>
          <t>Non-disaster</t>
        </is>
      </c>
    </row>
    <row r="101" ht="30" customHeight="1">
      <c r="A101" s="4" t="inlineStr">
        <is>
          <t>Disaster MRA</t>
        </is>
      </c>
      <c r="B101" s="4" t="inlineStr">
        <is>
          <t>Prior Workout NOT MRA</t>
        </is>
      </c>
      <c r="C101" s="4" t="inlineStr">
        <is>
          <t>usdaPriorWorkoutNotMRA</t>
        </is>
      </c>
      <c r="D101" s="4">
        <f> TRUE</f>
        <v/>
      </c>
      <c r="E101" s="4" t="inlineStr">
        <is>
          <t>No prior MRA workout</t>
        </is>
      </c>
      <c r="F101" s="4" t="inlineStr">
        <is>
          <t>Prior workout was MRA -&gt; ineligible for second</t>
        </is>
      </c>
    </row>
    <row r="102" ht="30" customHeight="1">
      <c r="A102" s="3" t="inlineStr">
        <is>
          <t>Disaster MRA</t>
        </is>
      </c>
      <c r="B102" s="3" t="inlineStr">
        <is>
          <t>Reinstatement Amount &lt; MRA Cap</t>
        </is>
      </c>
      <c r="C102" s="3" t="inlineStr">
        <is>
          <t>usdaReinstatementLtMRACap</t>
        </is>
      </c>
      <c r="D102" s="3">
        <f> TRUE</f>
        <v/>
      </c>
      <c r="E102" s="3" t="inlineStr">
        <is>
          <t>Arrears within MRA program cap</t>
        </is>
      </c>
      <c r="F102" s="3" t="inlineStr">
        <is>
          <t>Arrears exceed MRA cap</t>
        </is>
      </c>
    </row>
    <row r="103" ht="30" customHeight="1">
      <c r="A103" s="4" t="inlineStr">
        <is>
          <t>Disaster MRA</t>
        </is>
      </c>
      <c r="B103" s="4" t="inlineStr">
        <is>
          <t>DLQ &lt;= 30 Days at Disaster Declaration</t>
        </is>
      </c>
      <c r="C103" s="4" t="inlineStr">
        <is>
          <t>usdaDLQAt30AtDisaster</t>
        </is>
      </c>
      <c r="D103" s="4">
        <f> TRUE</f>
        <v/>
      </c>
      <c r="E103" s="4" t="inlineStr">
        <is>
          <t>Was current or &lt; 30d DLQ at declaration</t>
        </is>
      </c>
      <c r="F103" s="4" t="inlineStr">
        <is>
          <t>&gt; 30d at declaration</t>
        </is>
      </c>
    </row>
    <row r="104" ht="30" customHeight="1">
      <c r="A104" s="3" t="inlineStr">
        <is>
          <t>Disaster MRA</t>
        </is>
      </c>
      <c r="B104" s="3" t="inlineStr">
        <is>
          <t>Hardship = Resolved</t>
        </is>
      </c>
      <c r="C104" s="3" t="inlineStr">
        <is>
          <t>hardshipDuration</t>
        </is>
      </c>
      <c r="D104" s="3">
        <f> Resolved</f>
        <v/>
      </c>
      <c r="E104" s="3" t="inlineStr">
        <is>
          <t>Hardship has resolved</t>
        </is>
      </c>
      <c r="F104" s="3" t="inlineStr">
        <is>
          <t>Still in hardship</t>
        </is>
      </c>
    </row>
    <row r="105" ht="30" customHeight="1">
      <c r="A105" s="4" t="inlineStr">
        <is>
          <t>Disaster MRA</t>
        </is>
      </c>
      <c r="B105" s="4" t="inlineStr">
        <is>
          <t>Cannot Resume Payment</t>
        </is>
      </c>
      <c r="C105" s="4" t="inlineStr">
        <is>
          <t>usdaBorrowerCanResumePmtFalse</t>
        </is>
      </c>
      <c r="D105" s="4">
        <f> TRUE</f>
        <v/>
      </c>
      <c r="E105" s="4" t="inlineStr">
        <is>
          <t>Cannot make scheduled payment</t>
        </is>
      </c>
      <c r="F105" s="4" t="inlineStr">
        <is>
          <t>Can resume payment</t>
        </is>
      </c>
    </row>
    <row r="106" ht="30" customHeight="1">
      <c r="A106" s="3" t="inlineStr">
        <is>
          <t>Disaster MRA</t>
        </is>
      </c>
      <c r="B106" s="3" t="inlineStr">
        <is>
          <t>Loan &gt;= 30 Days DLQ</t>
        </is>
      </c>
      <c r="C106" s="3" t="inlineStr">
        <is>
          <t>usdaLoanGe30DaysDLQ</t>
        </is>
      </c>
      <c r="D106" s="3">
        <f> TRUE</f>
        <v/>
      </c>
      <c r="E106" s="3" t="inlineStr">
        <is>
          <t>&gt;= 30d DLQ</t>
        </is>
      </c>
      <c r="F106" s="3" t="inlineStr">
        <is>
          <t>&lt; 30d DLQ</t>
        </is>
      </c>
    </row>
    <row r="107" ht="30" customHeight="1">
      <c r="A107" s="4" t="inlineStr">
        <is>
          <t>Disaster MRA</t>
        </is>
      </c>
      <c r="B107" s="4" t="inlineStr">
        <is>
          <t>Post-Mod PITI &lt;= Pre-Mod PITI</t>
        </is>
      </c>
      <c r="C107" s="4" t="inlineStr">
        <is>
          <t>usdaPostModPITILePreMod</t>
        </is>
      </c>
      <c r="D107" s="4">
        <f> TRUE</f>
        <v/>
      </c>
      <c r="E107" s="4" t="inlineStr">
        <is>
          <t>MRA does not increase PITI</t>
        </is>
      </c>
      <c r="F107" s="4" t="inlineStr">
        <is>
          <t>PITI would increase</t>
        </is>
      </c>
    </row>
    <row r="108" ht="18" customHeight="1">
      <c r="A108" s="5" t="inlineStr">
        <is>
          <t>DISPOSITION - USDA COMPROMISE SALE &amp; DEED-IN-LIEU (HB-1-3555 Sec 18.9-18.10)</t>
        </is>
      </c>
    </row>
    <row r="109" ht="30" customHeight="1">
      <c r="A109" s="3" t="inlineStr">
        <is>
          <t>Compromise Sale</t>
        </is>
      </c>
      <c r="B109" s="3" t="inlineStr">
        <is>
          <t>Hardship Duration</t>
        </is>
      </c>
      <c r="C109" s="3" t="inlineStr">
        <is>
          <t>hardshipDuration</t>
        </is>
      </c>
      <c r="D109" s="3" t="inlineStr">
        <is>
          <t>Long Term OR Permanent</t>
        </is>
      </c>
      <c r="E109" s="3" t="inlineStr">
        <is>
          <t>Long-term or permanent hardship</t>
        </is>
      </c>
      <c r="F109" s="3" t="inlineStr">
        <is>
          <t>Temporary or resolved hardship</t>
        </is>
      </c>
    </row>
    <row r="110" ht="30" customHeight="1">
      <c r="A110" s="4" t="inlineStr">
        <is>
          <t>Compromise Sale</t>
        </is>
      </c>
      <c r="B110" s="4" t="inlineStr">
        <is>
          <t>Borrower Intent = Disposition</t>
        </is>
      </c>
      <c r="C110" s="4" t="inlineStr">
        <is>
          <t>borrowerIntentRetention</t>
        </is>
      </c>
      <c r="D110" s="4">
        <f> FALSE (wants to sell)</f>
        <v/>
      </c>
      <c r="E110" s="4" t="inlineStr">
        <is>
          <t>Disposition intent confirmed</t>
        </is>
      </c>
      <c r="F110" s="4" t="inlineStr">
        <is>
          <t>Retention intent -&gt; use retention options</t>
        </is>
      </c>
    </row>
    <row r="111" ht="30" customHeight="1">
      <c r="A111" s="3" t="inlineStr">
        <is>
          <t>Compromise Sale</t>
        </is>
      </c>
      <c r="B111" s="3" t="inlineStr">
        <is>
          <t>DLQ &gt; 30 Days</t>
        </is>
      </c>
      <c r="C111" s="3" t="inlineStr">
        <is>
          <t>usdaDLQGt30</t>
        </is>
      </c>
      <c r="D111" s="3">
        <f> TRUE (&gt; 30d DLQ)</f>
        <v/>
      </c>
      <c r="E111" s="3" t="inlineStr">
        <is>
          <t>&gt; 30d DLQ</t>
        </is>
      </c>
      <c r="F111" s="3" t="inlineStr">
        <is>
          <t>&lt;= 30d DLQ</t>
        </is>
      </c>
    </row>
    <row r="112" ht="30" customHeight="1">
      <c r="A112" s="4" t="inlineStr">
        <is>
          <t>Compromise Sale</t>
        </is>
      </c>
      <c r="B112" s="4" t="inlineStr">
        <is>
          <t>Owner Occupied</t>
        </is>
      </c>
      <c r="C112" s="4" t="inlineStr">
        <is>
          <t>occupancyStatus</t>
        </is>
      </c>
      <c r="D112" s="4">
        <f> Owner Occupied</f>
        <v/>
      </c>
      <c r="E112" s="4" t="inlineStr">
        <is>
          <t>Owner-occupied property</t>
        </is>
      </c>
      <c r="F112" s="4" t="inlineStr">
        <is>
          <t>Non-owner-occ</t>
        </is>
      </c>
    </row>
    <row r="113" ht="30" customHeight="1">
      <c r="A113" s="3" t="inlineStr">
        <is>
          <t>Compromise Sale</t>
        </is>
      </c>
      <c r="B113" s="3" t="inlineStr">
        <is>
          <t>Complete Borrower Response Package</t>
        </is>
      </c>
      <c r="C113" s="3" t="inlineStr">
        <is>
          <t>usdaCompleteBRP</t>
        </is>
      </c>
      <c r="D113" s="3">
        <f> TRUE</f>
        <v/>
      </c>
      <c r="E113" s="3" t="inlineStr">
        <is>
          <t>Complete BRP submitted</t>
        </is>
      </c>
      <c r="F113" s="3" t="inlineStr">
        <is>
          <t>Incomplete BRP</t>
        </is>
      </c>
    </row>
    <row r="114" ht="30" customHeight="1">
      <c r="A114" s="4" t="inlineStr">
        <is>
          <t>Compromise Sale</t>
        </is>
      </c>
      <c r="B114" s="4" t="inlineStr">
        <is>
          <t>Lien Position</t>
        </is>
      </c>
      <c r="C114" s="4" t="inlineStr">
        <is>
          <t>lienPosition</t>
        </is>
      </c>
      <c r="D114" s="4">
        <f> First</f>
        <v/>
      </c>
      <c r="E114" s="4" t="inlineStr">
        <is>
          <t>First lien</t>
        </is>
      </c>
      <c r="F114" s="4" t="inlineStr">
        <is>
          <t>Junior lien</t>
        </is>
      </c>
    </row>
    <row r="115" ht="30" customHeight="1">
      <c r="A115" s="3" t="inlineStr">
        <is>
          <t>Compromise Sale</t>
        </is>
      </c>
      <c r="B115" s="3" t="inlineStr">
        <is>
          <t>Not Condemned</t>
        </is>
      </c>
      <c r="C115" s="3" t="inlineStr">
        <is>
          <t>propertyCondition</t>
        </is>
      </c>
      <c r="D115" s="3" t="inlineStr">
        <is>
          <t>Not Condemned</t>
        </is>
      </c>
      <c r="E115" s="3" t="inlineStr">
        <is>
          <t>Habitable / marketable</t>
        </is>
      </c>
      <c r="F115" s="3" t="inlineStr">
        <is>
          <t>Condemned</t>
        </is>
      </c>
    </row>
    <row r="116" ht="30" customHeight="1">
      <c r="A116" s="4" t="inlineStr">
        <is>
          <t>Compromise Sale</t>
        </is>
      </c>
      <c r="B116" s="4" t="inlineStr">
        <is>
          <t>Not Abandoned</t>
        </is>
      </c>
      <c r="C116" s="4" t="inlineStr">
        <is>
          <t>occupancyAbandoned</t>
        </is>
      </c>
      <c r="D116" s="4">
        <f> FALSE</f>
        <v/>
      </c>
      <c r="E116" s="4" t="inlineStr">
        <is>
          <t>Property not abandoned</t>
        </is>
      </c>
      <c r="F116" s="4" t="inlineStr">
        <is>
          <t>Abandoned</t>
        </is>
      </c>
    </row>
    <row r="117" ht="30" customHeight="1">
      <c r="A117" s="3" t="inlineStr">
        <is>
          <t>Compromise Sale</t>
        </is>
      </c>
      <c r="B117" s="3" t="inlineStr">
        <is>
          <t>DLQ/BRP/Disposition Criteria</t>
        </is>
      </c>
      <c r="C117" s="3" t="inlineStr">
        <is>
          <t>usdaDLQLe60AndBRP OR usdaDLQGe60AndDisposition</t>
        </is>
      </c>
      <c r="D117" s="3" t="inlineStr">
        <is>
          <t>At least one = TRUE</t>
        </is>
      </c>
      <c r="E117" s="3" t="inlineStr">
        <is>
          <t>DLQ &lt;= 60d with complete BRP OR DLQ &gt;= 60d with disposition plan</t>
        </is>
      </c>
      <c r="F117" s="3" t="inlineStr">
        <is>
          <t>Neither condition met</t>
        </is>
      </c>
    </row>
    <row r="118" ht="30" customHeight="1">
      <c r="A118" s="4" t="inlineStr">
        <is>
          <t>Deed-in-Lieu</t>
        </is>
      </c>
      <c r="B118" s="4" t="inlineStr">
        <is>
          <t>All Compromise Sale Criteria Met</t>
        </is>
      </c>
      <c r="C118" s="4" t="inlineStr">
        <is>
          <t>All cb criteria</t>
        </is>
      </c>
      <c r="D118" s="4" t="inlineStr">
        <is>
          <t>All cb conditions pass</t>
        </is>
      </c>
      <c r="E118" s="4" t="inlineStr">
        <is>
          <t>Compromise Sale base eligible</t>
        </is>
      </c>
      <c r="F118" s="4" t="inlineStr">
        <is>
          <t>Any cb condition fails -&gt; not eligible for DIL</t>
        </is>
      </c>
    </row>
    <row r="119" ht="30" customHeight="1">
      <c r="A119" s="3" t="inlineStr">
        <is>
          <t>Deed-in-Lieu</t>
        </is>
      </c>
      <c r="B119" s="3" t="inlineStr">
        <is>
          <t>Prior Compromise Sale FAILED</t>
        </is>
      </c>
      <c r="C119" s="3" t="inlineStr">
        <is>
          <t>usdaPriorWorkoutCompSaleFailed</t>
        </is>
      </c>
      <c r="D119" s="3">
        <f> TRUE</f>
        <v/>
      </c>
      <c r="E119" s="3" t="inlineStr">
        <is>
          <t>Compromise Sale was attempted and failed</t>
        </is>
      </c>
      <c r="F119" s="3" t="inlineStr">
        <is>
          <t>Compromise Sale not yet attempted -&gt; try CS first</t>
        </is>
      </c>
    </row>
  </sheetData>
  <mergeCells count="15">
    <mergeCell ref="A63:F63"/>
    <mergeCell ref="A42:F42"/>
    <mergeCell ref="A19:F19"/>
    <mergeCell ref="A36:F36"/>
    <mergeCell ref="A66:F66"/>
    <mergeCell ref="A108:F108"/>
    <mergeCell ref="A1:F1"/>
    <mergeCell ref="A75:F75"/>
    <mergeCell ref="A9:F9"/>
    <mergeCell ref="A31:F31"/>
    <mergeCell ref="A97:F97"/>
    <mergeCell ref="A59:F59"/>
    <mergeCell ref="A3:F3"/>
    <mergeCell ref="A87:F87"/>
    <mergeCell ref="A7:F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cols>
    <col width="28" customWidth="1" min="1" max="1"/>
    <col width="38" customWidth="1" min="2" max="2"/>
    <col width="30" customWidth="1" min="3" max="3"/>
    <col width="20" customWidth="1" min="4" max="4"/>
    <col width="28" customWidth="1" min="5" max="5"/>
    <col width="28" customWidth="1" min="6" max="6"/>
  </cols>
  <sheetData>
    <row r="1" ht="22" customHeight="1">
      <c r="A1" s="1" t="inlineStr">
        <is>
          <t>USDA - Rate, Payment &amp; Threshold Calculations</t>
        </is>
      </c>
    </row>
    <row r="2" ht="20" customHeight="1">
      <c r="A2" s="2" t="inlineStr">
        <is>
          <t>Calculation</t>
        </is>
      </c>
      <c r="B2" s="2" t="inlineStr">
        <is>
          <t>Formula</t>
        </is>
      </c>
      <c r="C2" s="2" t="inlineStr">
        <is>
          <t>Example</t>
        </is>
      </c>
      <c r="D2" s="2" t="inlineStr">
        <is>
          <t>Source</t>
        </is>
      </c>
      <c r="E2" s="2" t="inlineStr">
        <is>
          <t>Pass Condition</t>
        </is>
      </c>
      <c r="F2" s="2" t="inlineStr">
        <is>
          <t>Notes</t>
        </is>
      </c>
    </row>
    <row r="3" ht="36" customHeight="1">
      <c r="A3" s="3" t="inlineStr">
        <is>
          <t>USDA Streamline Mod Rate</t>
        </is>
      </c>
      <c r="B3" s="3" t="inlineStr">
        <is>
          <t>lesser of: current note rate OR (PMMS + 50bps)</t>
        </is>
      </c>
      <c r="C3" s="3" t="inlineStr">
        <is>
          <t>lesser(7.25%, 6.75%+0.50%) = 7.00%</t>
        </is>
      </c>
      <c r="D3" s="3" t="inlineStr">
        <is>
          <t>7 CFR Sec 3555.304</t>
        </is>
      </c>
      <c r="E3" s="3" t="inlineStr">
        <is>
          <t>Always determined if rate data entered</t>
        </is>
      </c>
      <c r="F3" s="3" t="inlineStr">
        <is>
          <t>Capped at PMMS+50bps; never exceeds current rate</t>
        </is>
      </c>
    </row>
    <row r="4" ht="36" customHeight="1">
      <c r="A4" s="4" t="inlineStr">
        <is>
          <t>New UPB (capitalization)</t>
        </is>
      </c>
      <c r="B4" s="4" t="inlineStr">
        <is>
          <t>current UPB + arrears to capitalize + escrow shortage + legal fees</t>
        </is>
      </c>
      <c r="C4" s="4" t="inlineStr">
        <is>
          <t>$185,000 + $9,500 + $1,200 + $300 = $196,000</t>
        </is>
      </c>
      <c r="D4" s="4" t="inlineStr">
        <is>
          <t>HB-1-3555 Sec 18.7</t>
        </is>
      </c>
      <c r="E4" s="4" t="inlineStr">
        <is>
          <t>Used in all mod payment calcs</t>
        </is>
      </c>
      <c r="F4" s="4" t="inlineStr">
        <is>
          <t>Capitalized costs add to principal balance</t>
        </is>
      </c>
    </row>
    <row r="5" ht="36" customHeight="1">
      <c r="A5" s="3" t="inlineStr">
        <is>
          <t>New P&amp;I at 480 Months (Streamline)</t>
        </is>
      </c>
      <c r="B5" s="3" t="inlineStr">
        <is>
          <t>calcMonthlyPI(newUPB, streamlineRate, 480)</t>
        </is>
      </c>
      <c r="C5" s="3" t="inlineStr">
        <is>
          <t>PI($196k, 7.0%, 480) = ~$1,318</t>
        </is>
      </c>
      <c r="D5" s="3" t="inlineStr">
        <is>
          <t>7 CFR Sec 3555.304</t>
        </is>
      </c>
      <c r="E5" s="3" t="inlineStr">
        <is>
          <t>Used to test DTI and 10% reduction</t>
        </is>
      </c>
      <c r="F5" s="3" t="inlineStr">
        <is>
          <t>Always 480-month (40-year) term for USDA Streamline</t>
        </is>
      </c>
    </row>
    <row r="6" ht="36" customHeight="1">
      <c r="A6" s="4" t="inlineStr">
        <is>
          <t>10% P&amp;I Reduction Check (Final Offer)</t>
        </is>
      </c>
      <c r="B6" s="4" t="inlineStr">
        <is>
          <t>newPI(480mo) &lt;= currentPI * 0.90</t>
        </is>
      </c>
      <c r="C6" s="4" t="inlineStr">
        <is>
          <t>$1,318 &lt;= $1,467 * 0.90 = $1,320 -&gt; PASS</t>
        </is>
      </c>
      <c r="D6" s="4" t="inlineStr">
        <is>
          <t>7 CFR Sec 3555.304(b)(2)</t>
        </is>
      </c>
      <c r="E6" s="4" t="inlineStr">
        <is>
          <t>newPI &lt;= currentPI * 0.90</t>
        </is>
      </c>
      <c r="F6" s="4" t="inlineStr">
        <is>
          <t>Required for Streamline Final Offer; not required for standard Streamline Mod</t>
        </is>
      </c>
    </row>
    <row r="7" ht="36" customHeight="1">
      <c r="A7" s="3" t="inlineStr">
        <is>
          <t>Front-End DTI Target (Streamline Mod)</t>
        </is>
      </c>
      <c r="B7" s="3" t="inlineStr">
        <is>
          <t>new PITI / gross monthly income</t>
        </is>
      </c>
      <c r="C7" s="3" t="inlineStr">
        <is>
          <t>$1,618 (PITI) / $5,200 (GMI) = 31.1%</t>
        </is>
      </c>
      <c r="D7" s="3" t="inlineStr">
        <is>
          <t>HB-1-3555 Sec 18.7</t>
        </is>
      </c>
      <c r="E7" s="3" t="inlineStr">
        <is>
          <t>Target: 31% front-end DTI</t>
        </is>
      </c>
      <c r="F7" s="3" t="inlineStr">
        <is>
          <t>Target; post-mod total DTI hard cap is 55%</t>
        </is>
      </c>
    </row>
    <row r="8" ht="36" customHeight="1">
      <c r="A8" s="4" t="inlineStr">
        <is>
          <t>Post-Mod Total DTI Check</t>
        </is>
      </c>
      <c r="B8" s="4" t="inlineStr">
        <is>
          <t>all monthly debt payments / gross monthly income</t>
        </is>
      </c>
      <c r="C8" s="4" t="inlineStr">
        <is>
          <t>($1,618 PITI + $400 other debts) / $5,200 = 38.8%</t>
        </is>
      </c>
      <c r="D8" s="4" t="inlineStr">
        <is>
          <t>HB-1-3555 / 7 CFR 3555.304</t>
        </is>
      </c>
      <c r="E8" s="4" t="inlineStr">
        <is>
          <t>Must be &lt;= 55%</t>
        </is>
      </c>
      <c r="F8" s="4" t="inlineStr">
        <is>
          <t>Hard eligibility gate; includes all debts not just housing</t>
        </is>
      </c>
    </row>
    <row r="9" ht="36" customHeight="1">
      <c r="A9" s="3" t="inlineStr">
        <is>
          <t>RPP Payment (Informal RPP)</t>
        </is>
      </c>
      <c r="B9" s="3" t="inlineStr">
        <is>
          <t>currentPITI + (arrears / repayMonths)</t>
        </is>
      </c>
      <c r="C9" s="3" t="inlineStr">
        <is>
          <t>$1,200 + ($3,600 / 3) = $2,400</t>
        </is>
      </c>
      <c r="D9" s="3" t="inlineStr">
        <is>
          <t>HB-1-3555 Sec 18.4</t>
        </is>
      </c>
      <c r="E9" s="3" t="inlineStr">
        <is>
          <t>Must pass both 200% PITI cap and positive net income</t>
        </is>
      </c>
      <c r="F9" s="3" t="inlineStr">
        <is>
          <t>repayMonths is capped at 3 months maximum</t>
        </is>
      </c>
    </row>
    <row r="10" ht="36" customHeight="1">
      <c r="A10" s="4" t="inlineStr">
        <is>
          <t>RPP 200% PITI Cap</t>
        </is>
      </c>
      <c r="B10" s="4" t="inlineStr">
        <is>
          <t>RPP payment &lt;= currentPITI * 2.0</t>
        </is>
      </c>
      <c r="C10" s="4" t="inlineStr">
        <is>
          <t>$2,400 &lt;= $1,200 * 2.0 = $2,400 -&gt; PASS (at limit)</t>
        </is>
      </c>
      <c r="D10" s="4" t="inlineStr">
        <is>
          <t>HB-1-3555 Sec 18.4</t>
        </is>
      </c>
      <c r="E10" s="4" t="inlineStr">
        <is>
          <t>&lt;= 200% current PITI</t>
        </is>
      </c>
      <c r="F10" s="4" t="inlineStr">
        <is>
          <t>Harder cap than FHA (150%); USDA allows up to 200%</t>
        </is>
      </c>
    </row>
    <row r="11" ht="36" customHeight="1">
      <c r="A11" s="3" t="inlineStr">
        <is>
          <t>Net Income (Informal RPP)</t>
        </is>
      </c>
      <c r="B11" s="3" t="inlineStr">
        <is>
          <t>grossMonthlyIncome - currentPITI - monthlyExpenses</t>
        </is>
      </c>
      <c r="C11" s="3" t="inlineStr">
        <is>
          <t>$5,000 - $1,200 - $2,800 = $1,000 &gt; 0 -&gt; PASS</t>
        </is>
      </c>
      <c r="D11" s="3" t="inlineStr">
        <is>
          <t>HB-1-3555 Sec 18.4</t>
        </is>
      </c>
      <c r="E11" s="3" t="inlineStr">
        <is>
          <t>&gt; $0 positive net income</t>
        </is>
      </c>
      <c r="F11" s="3" t="inlineStr">
        <is>
          <t>If fields not entered, falls back to manual usdaBorrowerPositiveNetIncome</t>
        </is>
      </c>
    </row>
    <row r="12" ht="36" customHeight="1">
      <c r="A12" s="4" t="inlineStr">
        <is>
          <t>DLQ in Days</t>
        </is>
      </c>
      <c r="B12" s="4" t="inlineStr">
        <is>
          <t>delinquencyDays OR delinquencyMonths * 30</t>
        </is>
      </c>
      <c r="C12" s="4" t="inlineStr">
        <is>
          <t>3 months * 30 = 90 days</t>
        </is>
      </c>
      <c r="D12" s="4" t="inlineStr">
        <is>
          <t>Internal calculation</t>
        </is>
      </c>
      <c r="E12" s="4" t="inlineStr">
        <is>
          <t>Used for program thresholds (90d, 30d, etc.)</t>
        </is>
      </c>
      <c r="F12" s="4" t="inlineStr">
        <is>
          <t>Day-based thresholds more precise than month-based</t>
        </is>
      </c>
    </row>
    <row r="13" ht="36" customHeight="1">
      <c r="A13" s="3" t="inlineStr">
        <is>
          <t>Loan Age (Months)</t>
        </is>
      </c>
      <c r="B13" s="3" t="inlineStr">
        <is>
          <t>monthsBetween(noteDate OR firstPaymentDate, today OR approvalEffectiveDate)</t>
        </is>
      </c>
      <c r="C13" s="3" t="inlineStr">
        <is>
          <t>Note: Feb 2023; Today: Mar 2026 = 37 months</t>
        </is>
      </c>
      <c r="D13" s="3" t="inlineStr">
        <is>
          <t>HB-1-3555</t>
        </is>
      </c>
      <c r="E13" s="3" t="inlineStr">
        <is>
          <t>&gt;= 12 months where applicable</t>
        </is>
      </c>
      <c r="F13" s="3" t="inlineStr">
        <is>
          <t>NOTE: 12-payment requirement REMOVED per Final Rule (Apr 14, 2025)</t>
        </is>
      </c>
    </row>
    <row r="14" ht="36" customHeight="1">
      <c r="A14" s="4" t="inlineStr">
        <is>
          <t>UPB &gt;= $5,000 Check</t>
        </is>
      </c>
      <c r="B14" s="4" t="inlineStr">
        <is>
          <t>upb &gt;= 5000 (auto) OR usdaUpbGe5000 (manual)</t>
        </is>
      </c>
      <c r="C14" s="4" t="inlineStr">
        <is>
          <t>$185,000 &gt;= $5,000 -&gt; PASS</t>
        </is>
      </c>
      <c r="D14" s="4" t="inlineStr">
        <is>
          <t>HB-1-3555 Sec 18.7</t>
        </is>
      </c>
      <c r="E14" s="4" t="inlineStr">
        <is>
          <t>UPB meets minimum</t>
        </is>
      </c>
      <c r="F14" s="4" t="inlineStr">
        <is>
          <t>Loan balance below $5k is rare but disqualifying for Streamline Mod</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workbookViewId="0">
      <pane ySplit="2" topLeftCell="A3" activePane="bottomLeft" state="frozen"/>
      <selection pane="bottomLeft" activeCell="A1" sqref="A1"/>
    </sheetView>
  </sheetViews>
  <sheetFormatPr baseColWidth="8" defaultRowHeight="15"/>
  <cols>
    <col width="6" customWidth="1" min="1" max="1"/>
    <col width="30" customWidth="1" min="2" max="2"/>
    <col width="28" customWidth="1" min="3" max="3"/>
    <col width="32" customWidth="1" min="4" max="4"/>
    <col width="34" customWidth="1" min="5" max="5"/>
  </cols>
  <sheetData>
    <row r="1" ht="22" customHeight="1">
      <c r="A1" s="1" t="inlineStr">
        <is>
          <t>USDA Loss Mitigation Waterfall - Evaluation Order (HB-1-3555 / 7 CFR 3555.304)</t>
        </is>
      </c>
    </row>
    <row r="2" ht="20" customHeight="1">
      <c r="A2" s="2" t="inlineStr">
        <is>
          <t>#</t>
        </is>
      </c>
      <c r="B2" s="2" t="inlineStr">
        <is>
          <t>Option</t>
        </is>
      </c>
      <c r="C2" s="2" t="inlineStr">
        <is>
          <t>Trigger Condition</t>
        </is>
      </c>
      <c r="D2" s="2" t="inlineStr">
        <is>
          <t>Proceed If (PASS)</t>
        </is>
      </c>
      <c r="E2" s="2" t="inlineStr">
        <is>
          <t>Skip to Next If (FAIL)</t>
        </is>
      </c>
    </row>
    <row r="3" ht="52" customHeight="1">
      <c r="A3" s="6" t="inlineStr">
        <is>
          <t>1</t>
        </is>
      </c>
      <c r="B3" s="7" t="inlineStr">
        <is>
          <t>USDA Reinstatement</t>
        </is>
      </c>
      <c r="C3" s="7" t="inlineStr">
        <is>
          <t>Any delinquency exists (DLQ &gt; 0d)</t>
        </is>
      </c>
      <c r="D3" s="7" t="inlineStr">
        <is>
          <t>DLQ &gt; 0d - borrower can pay all past-due amounts in full</t>
        </is>
      </c>
      <c r="E3" s="7" t="inlineStr">
        <is>
          <t>Borrower cannot self-cure -&gt; proceed to forbearance options</t>
        </is>
      </c>
    </row>
    <row r="4" ht="52" customHeight="1">
      <c r="A4" s="8" t="inlineStr">
        <is>
          <t>2</t>
        </is>
      </c>
      <c r="B4" s="9" t="inlineStr">
        <is>
          <t>USDA Informal Forbearance</t>
        </is>
      </c>
      <c r="C4" s="9" t="inlineStr">
        <is>
          <t>Early-stage default; non-disaster; DLQ &lt; 90d; retention intent</t>
        </is>
      </c>
      <c r="D4" s="9" t="inlineStr">
        <is>
          <t>Non-disaster; DLQ 0-89d; owner-occ; not excluded hardship; forbearance/DLQ &lt; 12mo</t>
        </is>
      </c>
      <c r="E4" s="9" t="inlineStr">
        <is>
          <t>DLQ &gt;= 90d -&gt; Streamline Mod; disaster hardship -&gt; Disaster Forbearance</t>
        </is>
      </c>
    </row>
    <row r="5" ht="52" customHeight="1">
      <c r="A5" s="10" t="inlineStr">
        <is>
          <t>3</t>
        </is>
      </c>
      <c r="B5" s="11" t="inlineStr">
        <is>
          <t>USDA Informal Repayment Plan</t>
        </is>
      </c>
      <c r="C5" s="11" t="inlineStr">
        <is>
          <t>Hardship resolved; non-disaster; DLQ 1-359d; can repay</t>
        </is>
      </c>
      <c r="D5" s="11" t="inlineStr">
        <is>
          <t>DLQ 1-359d; hardship resolved; RPP pmt &lt;= 200% PITI; positive net income (GMI - PITI - expenses &gt; 0)</t>
        </is>
      </c>
      <c r="E5" s="11" t="inlineStr">
        <is>
          <t>Hardship ongoing; cannot afford RPP; net income &lt;= 0</t>
        </is>
      </c>
    </row>
    <row r="6" ht="52" customHeight="1">
      <c r="A6" s="6" t="inlineStr">
        <is>
          <t>4</t>
        </is>
      </c>
      <c r="B6" s="7" t="inlineStr">
        <is>
          <t>USDA Disaster Forbearance</t>
        </is>
      </c>
      <c r="C6" s="7" t="inlineStr">
        <is>
          <t>Disaster hardship declared; borrower was current or &lt; 30d DLQ at declaration</t>
        </is>
      </c>
      <c r="D6" s="7" t="inlineStr">
        <is>
          <t>Disaster hardship; owner-occ; DLQ &lt;= 30d at declaration; base eligibility passes</t>
        </is>
      </c>
      <c r="E6" s="7" t="inlineStr">
        <is>
          <t>Non-disaster; &gt; 30d DLQ at declaration</t>
        </is>
      </c>
    </row>
    <row r="7" ht="52" customHeight="1">
      <c r="A7" s="8" t="inlineStr">
        <is>
          <t>5</t>
        </is>
      </c>
      <c r="B7" s="9" t="inlineStr">
        <is>
          <t>USDA Special Forbearance</t>
        </is>
      </c>
      <c r="C7" s="9" t="inlineStr">
        <is>
          <t>Non-disaster; DLQ 30d-12mo; standard forbearance needed</t>
        </is>
      </c>
      <c r="D7" s="9" t="inlineStr">
        <is>
          <t>Non-disaster; DLQ &gt;= 30d AND &lt;= 12mo; owner-occ; base eligibility passes</t>
        </is>
      </c>
      <c r="E7" s="9" t="inlineStr">
        <is>
          <t>DLQ &gt; 12mo; disaster hardship</t>
        </is>
      </c>
    </row>
    <row r="8" ht="52" customHeight="1">
      <c r="A8" s="10" t="inlineStr">
        <is>
          <t>6</t>
        </is>
      </c>
      <c r="B8" s="11" t="inlineStr">
        <is>
          <t>USDA Streamline Loan Modification</t>
        </is>
      </c>
      <c r="C8" s="11" t="inlineStr">
        <is>
          <t>DLQ &gt;= 90d; standard modification track with income docs</t>
        </is>
      </c>
      <c r="D8" s="11" t="inlineStr">
        <is>
          <t>DLQ &gt;= 90d; UPB &gt;= $5k; no active BK/litigation; &lt; 2 prior mods; foreclosure &gt;= 60d; not listed for sale; post-mod DTI &lt;= 55%; rate = lesser(current, PMMS+50bps); 480-month term; targets 31% front-end DTI</t>
        </is>
      </c>
      <c r="E8" s="11" t="inlineStr">
        <is>
          <t>Borrower unresponsive -&gt; Streamline Final Offer; 480mo mod cannot reach target -&gt; Mod+MRA Servicing Plan</t>
        </is>
      </c>
    </row>
    <row r="9" ht="52" customHeight="1">
      <c r="A9" s="6" t="inlineStr">
        <is>
          <t>7</t>
        </is>
      </c>
      <c r="B9" s="7" t="inlineStr">
        <is>
          <t>USDA Streamline Final Offer</t>
        </is>
      </c>
      <c r="C9" s="7" t="inlineStr">
        <is>
          <t>Borrower unresponsive to Streamline Mod offer; no-doc track</t>
        </is>
      </c>
      <c r="D9" s="7" t="inlineStr">
        <is>
          <t>All Streamline base criteria PLUS: unresponsive AND new P&amp;I at 480mo &lt;= current P&amp;I * 0.90 (&gt;= 10% reduction)</t>
        </is>
      </c>
      <c r="E9" s="7" t="inlineStr">
        <is>
          <t>&lt; 10% P&amp;I reduction achievable; borrower responsive</t>
        </is>
      </c>
    </row>
    <row r="10" ht="52" customHeight="1">
      <c r="A10" s="8" t="inlineStr">
        <is>
          <t>8</t>
        </is>
      </c>
      <c r="B10" s="9" t="inlineStr">
        <is>
          <t>USDA Mod + MRA Servicing Plan</t>
        </is>
      </c>
      <c r="C10" s="9" t="inlineStr">
        <is>
          <t>Streamline Mod base eligible but 480mo alone cannot reach PITI target</t>
        </is>
      </c>
      <c r="D10" s="9" t="inlineStr">
        <is>
          <t>Streamline base eligible AND Step 3 deferral required to close payment gap</t>
        </is>
      </c>
      <c r="E10" s="9" t="inlineStr">
        <is>
          <t>Streamline Mod alone achieves target</t>
        </is>
      </c>
    </row>
    <row r="11" ht="52" customHeight="1">
      <c r="A11" s="10" t="inlineStr">
        <is>
          <t>9</t>
        </is>
      </c>
      <c r="B11" s="11" t="inlineStr">
        <is>
          <t>USDA Standalone MRA</t>
        </is>
      </c>
      <c r="C11" s="11" t="inlineStr">
        <is>
          <t>Can resume payment; hardship resolved or mod ineligible; cannot self-cure DLQ</t>
        </is>
      </c>
      <c r="D11" s="11" t="inlineStr">
        <is>
          <t>Non-disaster; can resume current pmt; hardship resolved OR mod-ineligible; cannot cure DLQ in 12mo; DLQ &gt;= 30d; first lien; not condemned/abandoned</t>
        </is>
      </c>
      <c r="E11" s="11" t="inlineStr">
        <is>
          <t>Cannot resume payment; disaster hardship</t>
        </is>
      </c>
    </row>
    <row r="12" ht="52" customHeight="1">
      <c r="A12" s="6" t="inlineStr">
        <is>
          <t>10</t>
        </is>
      </c>
      <c r="B12" s="7" t="inlineStr">
        <is>
          <t>USDA Disaster Term Extension Mod</t>
        </is>
      </c>
      <c r="C12" s="7" t="inlineStr">
        <is>
          <t>Prior Disaster Forbearance; unresolved hardship; DLQ &gt;= 12 contractual</t>
        </is>
      </c>
      <c r="D12" s="7" t="inlineStr">
        <is>
          <t>Prior workout = Disaster Forbearance; hardship NOT resolved; DLQ &gt;= 12 contractual; DLQ &lt;= 30d at declaration; loan &gt;= 60d DLQ; workout active/passed</t>
        </is>
      </c>
      <c r="E12" s="7" t="inlineStr">
        <is>
          <t>Hardship resolved -&gt; use Disaster Modification</t>
        </is>
      </c>
    </row>
    <row r="13" ht="52" customHeight="1">
      <c r="A13" s="8" t="inlineStr">
        <is>
          <t>11</t>
        </is>
      </c>
      <c r="B13" s="9" t="inlineStr">
        <is>
          <t>USDA Disaster Modification</t>
        </is>
      </c>
      <c r="C13" s="9" t="inlineStr">
        <is>
          <t>Disaster hardship resolved; cannot resume payment; post-mod PITI &lt;= pre-mod</t>
        </is>
      </c>
      <c r="D13" s="9" t="inlineStr">
        <is>
          <t>Disaster hardship; hardship resolved; cannot resume pmt; post-mod PITI &lt;= pre-mod PITI; loan &gt;= 30d DLQ; DLQ &lt;= 30d at declaration</t>
        </is>
      </c>
      <c r="E13" s="9" t="inlineStr">
        <is>
          <t>Cannot reduce or maintain PITI; can resume payment</t>
        </is>
      </c>
    </row>
    <row r="14" ht="52" customHeight="1">
      <c r="A14" s="10" t="inlineStr">
        <is>
          <t>12</t>
        </is>
      </c>
      <c r="B14" s="11" t="inlineStr">
        <is>
          <t>USDA Disaster MRA</t>
        </is>
      </c>
      <c r="C14" s="11" t="inlineStr">
        <is>
          <t>All other disaster options exhausted; last disaster relief option</t>
        </is>
      </c>
      <c r="D14" s="11" t="inlineStr">
        <is>
          <t>NOT eligible for Disaster Extension Mod AND NOT eligible for Disaster Mod; all remaining disaster criteria pass; prior NOT MRA; reinstatement within MRA cap</t>
        </is>
      </c>
      <c r="E14" s="11" t="inlineStr">
        <is>
          <t>Any other disaster option still available</t>
        </is>
      </c>
    </row>
    <row r="15" ht="52" customHeight="1">
      <c r="A15" s="12" t="inlineStr">
        <is>
          <t>13</t>
        </is>
      </c>
      <c r="B15" s="13" t="inlineStr">
        <is>
          <t>USDA Compromise Sale</t>
        </is>
      </c>
      <c r="C15" s="13" t="inlineStr">
        <is>
          <t>Long-term/permanent hardship; disposition intent; DLQ &gt; 30d</t>
        </is>
      </c>
      <c r="D15" s="13" t="inlineStr">
        <is>
          <t>Long-term/permanent hardship; disposition intent; DLQ &gt; 30d; owner-occ; complete BRP; first lien; not condemned/abandoned; DLQ/BRP/disposition criteria met</t>
        </is>
      </c>
      <c r="E15" s="13" t="inlineStr">
        <is>
          <t>Prior Compromise Sale failed -&gt; Deed-in-Lieu</t>
        </is>
      </c>
    </row>
    <row r="16" ht="52" customHeight="1">
      <c r="A16" s="14" t="inlineStr">
        <is>
          <t>14</t>
        </is>
      </c>
      <c r="B16" s="15" t="inlineStr">
        <is>
          <t>USDA Deed-in-Lieu</t>
        </is>
      </c>
      <c r="C16" s="15" t="inlineStr">
        <is>
          <t>All other options exhausted; disposition track; Compromise Sale failed</t>
        </is>
      </c>
      <c r="D16" s="15" t="inlineStr">
        <is>
          <t>All Compromise Sale criteria pass AND prior Compromise Sale attempted and failed; clear title; borrower vacates</t>
        </is>
      </c>
      <c r="E16" s="15" t="inlineStr">
        <is>
          <t>All options exhausted and DIL ineligible</t>
        </is>
      </c>
    </row>
    <row r="18" ht="40" customHeight="1">
      <c r="A18" s="16" t="inlineStr">
        <is>
          <t>NOTE: The 12-payment (loan age) requirement was REMOVED for USDA Streamline Loan Modification per Final Rule effective April 14, 2025 (7 CFR 3555.304). The Mod+MRA Servicing Plan and Streamline Final Offer are new options added by USDA RD Final Rule (Feb 11, 2025). PMMS rate is the Freddie Mac Primary Mortgage Market Survey weekly average.</t>
        </is>
      </c>
    </row>
  </sheetData>
  <mergeCells count="2">
    <mergeCell ref="A1:E1"/>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2026-03-30T15:41:54Z</dcterms:created>
  <dcterms:modified xsi:type="dcterms:W3CDTF">2026-03-30T15:41:54Z</dcterms:modified>
</cp:coreProperties>
</file>